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ofia\Downloads\"/>
    </mc:Choice>
  </mc:AlternateContent>
  <xr:revisionPtr revIDLastSave="0" documentId="8_{4613C977-EB00-47D1-9248-DE0FD674A64D}" xr6:coauthVersionLast="47" xr6:coauthVersionMax="47" xr10:uidLastSave="{00000000-0000-0000-0000-000000000000}"/>
  <bookViews>
    <workbookView xWindow="-108" yWindow="-108" windowWidth="30936" windowHeight="16776" tabRatio="500" firstSheet="3" activeTab="6" xr2:uid="{00000000-000D-0000-FFFF-FFFF00000000}"/>
  </bookViews>
  <sheets>
    <sheet name="Portada" sheetId="1" r:id="rId1"/>
    <sheet name="Instrucciones" sheetId="2" state="hidden" r:id="rId2"/>
    <sheet name="RF" sheetId="3" r:id="rId3"/>
    <sheet name="RNF" sheetId="4" r:id="rId4"/>
    <sheet name="Ficha_RF" sheetId="5" r:id="rId5"/>
    <sheet name="Ficha_RNF" sheetId="6" r:id="rId6"/>
    <sheet name="Historias_Usuario" sheetId="7" r:id="rId7"/>
    <sheet name="Criterios_Gherkin" sheetId="8" r:id="rId8"/>
    <sheet name="Definición_Terminado" sheetId="9" r:id="rId9"/>
    <sheet name="Listas" sheetId="10" state="hidden" r:id="rId10"/>
    <sheet name="Referencias_Adicionales" sheetId="11" r:id="rId11"/>
  </sheets>
  <definedNames>
    <definedName name="_xlnm._FilterDatabase" localSheetId="7" hidden="1">Criterios_Gherkin!$A$6:$G$206</definedName>
    <definedName name="_xlnm._FilterDatabase" localSheetId="6" hidden="1">Historias_Usuario!$A$6:$AA$107</definedName>
    <definedName name="_xlnm._FilterDatabase" localSheetId="2" hidden="1">RF!$A$6:$S$107</definedName>
    <definedName name="_xlnm._FilterDatabase" localSheetId="3" hidden="1">RNF!$A$6:$U$107</definedName>
    <definedName name="_xlnm.Print_Area" localSheetId="8">Definición_Terminado!$A$1:$D$9</definedName>
    <definedName name="_xlnm.Print_Area" localSheetId="4">Ficha_RF!$A$1:$H$1488</definedName>
    <definedName name="_xlnm.Print_Area" localSheetId="5">Ficha_RNF!$A$1:$H$904</definedName>
    <definedName name="_xlnm.Print_Area" localSheetId="0">Portada!$A$1:$G$28</definedName>
    <definedName name="LST_CONFIRMACION">Listas!$H$7:$H$8</definedName>
    <definedName name="LST_ESTADO_HU">Listas!$L$7:$L$10</definedName>
    <definedName name="LST_ESTADO_REQ">Listas!$F$7:$F$11</definedName>
    <definedName name="LST_ID_HU">Historias_Usuario!$A$7:$A$107</definedName>
    <definedName name="LST_ID_RF">RF!$A$7:$A$107</definedName>
    <definedName name="LST_ID_RNF">RNF!$A$7:$A$107</definedName>
    <definedName name="LST_IMPORTANCIA">Listas!$E$7:$E$9</definedName>
    <definedName name="LST_MOSCOW">Listas!$D$7:$D$10</definedName>
    <definedName name="LST_PUNTOS">Listas!$I$7:$I$13</definedName>
    <definedName name="LST_RESULTADO">Listas!$K$7:$K$9</definedName>
    <definedName name="LST_SUBCARACTERISTICA">Listas!$A$7:$A$46</definedName>
    <definedName name="LST_TIPO_ESCENARIO">Listas!$J$7:$J$9</definedName>
    <definedName name="LST_VERIFICACION">Listas!$G$7:$G$10</definedName>
    <definedName name="_xlnm.Print_Titles" localSheetId="7">Criterios_Gherkin!$5:$6</definedName>
    <definedName name="_xlnm.Print_Titles" localSheetId="6">Historias_Usuario!$5:$6</definedName>
    <definedName name="_xlnm.Print_Titles" localSheetId="2">RF!$5:$6</definedName>
    <definedName name="_xlnm.Print_Titles" localSheetId="3">RNF!$5:$6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07" i="7" l="1"/>
  <c r="U107" i="7"/>
  <c r="N107" i="7"/>
  <c r="G107" i="7"/>
  <c r="AA106" i="7"/>
  <c r="U106" i="7"/>
  <c r="N106" i="7"/>
  <c r="G106" i="7"/>
  <c r="AA105" i="7"/>
  <c r="U105" i="7"/>
  <c r="N105" i="7"/>
  <c r="G105" i="7"/>
  <c r="AA104" i="7"/>
  <c r="U104" i="7"/>
  <c r="N104" i="7"/>
  <c r="G104" i="7"/>
  <c r="AA103" i="7"/>
  <c r="U103" i="7"/>
  <c r="N103" i="7"/>
  <c r="G103" i="7"/>
  <c r="AA102" i="7"/>
  <c r="U102" i="7"/>
  <c r="N102" i="7"/>
  <c r="G102" i="7"/>
  <c r="AA101" i="7"/>
  <c r="U101" i="7"/>
  <c r="N101" i="7"/>
  <c r="G101" i="7"/>
  <c r="AA100" i="7"/>
  <c r="U100" i="7"/>
  <c r="N100" i="7"/>
  <c r="G100" i="7"/>
  <c r="AA99" i="7"/>
  <c r="U99" i="7"/>
  <c r="N99" i="7"/>
  <c r="G99" i="7"/>
  <c r="AA98" i="7"/>
  <c r="U98" i="7"/>
  <c r="N98" i="7"/>
  <c r="G98" i="7"/>
  <c r="AA97" i="7"/>
  <c r="U97" i="7"/>
  <c r="N97" i="7"/>
  <c r="G97" i="7"/>
  <c r="AA96" i="7"/>
  <c r="U96" i="7"/>
  <c r="N96" i="7"/>
  <c r="G96" i="7"/>
  <c r="AA95" i="7"/>
  <c r="U95" i="7"/>
  <c r="N95" i="7"/>
  <c r="G95" i="7"/>
  <c r="AA94" i="7"/>
  <c r="U94" i="7"/>
  <c r="N94" i="7"/>
  <c r="G94" i="7"/>
  <c r="AA93" i="7"/>
  <c r="U93" i="7"/>
  <c r="N93" i="7"/>
  <c r="G93" i="7"/>
  <c r="AA92" i="7"/>
  <c r="U92" i="7"/>
  <c r="N92" i="7"/>
  <c r="G92" i="7"/>
  <c r="AA91" i="7"/>
  <c r="U91" i="7"/>
  <c r="N91" i="7"/>
  <c r="G91" i="7"/>
  <c r="AA90" i="7"/>
  <c r="U90" i="7"/>
  <c r="N90" i="7"/>
  <c r="G90" i="7"/>
  <c r="AA89" i="7"/>
  <c r="U89" i="7"/>
  <c r="N89" i="7"/>
  <c r="G89" i="7"/>
  <c r="AA88" i="7"/>
  <c r="U88" i="7"/>
  <c r="N88" i="7"/>
  <c r="G88" i="7"/>
  <c r="AA87" i="7"/>
  <c r="U87" i="7"/>
  <c r="N87" i="7"/>
  <c r="G87" i="7"/>
  <c r="AA86" i="7"/>
  <c r="U86" i="7"/>
  <c r="N86" i="7"/>
  <c r="G86" i="7"/>
  <c r="AA85" i="7"/>
  <c r="U85" i="7"/>
  <c r="N85" i="7"/>
  <c r="G85" i="7"/>
  <c r="AA84" i="7"/>
  <c r="U84" i="7"/>
  <c r="N84" i="7"/>
  <c r="G84" i="7"/>
  <c r="AA83" i="7"/>
  <c r="U83" i="7"/>
  <c r="N83" i="7"/>
  <c r="G83" i="7"/>
  <c r="AA82" i="7"/>
  <c r="U82" i="7"/>
  <c r="N82" i="7"/>
  <c r="G82" i="7"/>
  <c r="AA81" i="7"/>
  <c r="U81" i="7"/>
  <c r="N81" i="7"/>
  <c r="G81" i="7"/>
  <c r="AA80" i="7"/>
  <c r="U80" i="7"/>
  <c r="N80" i="7"/>
  <c r="G80" i="7"/>
  <c r="AA79" i="7"/>
  <c r="U79" i="7"/>
  <c r="N79" i="7"/>
  <c r="G79" i="7"/>
  <c r="AA78" i="7"/>
  <c r="U78" i="7"/>
  <c r="N78" i="7"/>
  <c r="G78" i="7"/>
  <c r="AA77" i="7"/>
  <c r="U77" i="7"/>
  <c r="N77" i="7"/>
  <c r="G77" i="7"/>
  <c r="AA76" i="7"/>
  <c r="U76" i="7"/>
  <c r="N76" i="7"/>
  <c r="G76" i="7"/>
  <c r="AA75" i="7"/>
  <c r="U75" i="7"/>
  <c r="N75" i="7"/>
  <c r="G75" i="7"/>
  <c r="AA74" i="7"/>
  <c r="U74" i="7"/>
  <c r="N74" i="7"/>
  <c r="G74" i="7"/>
  <c r="AA73" i="7"/>
  <c r="U73" i="7"/>
  <c r="N73" i="7"/>
  <c r="G73" i="7"/>
  <c r="AA72" i="7"/>
  <c r="U72" i="7"/>
  <c r="N72" i="7"/>
  <c r="G72" i="7"/>
  <c r="AA71" i="7"/>
  <c r="U71" i="7"/>
  <c r="N71" i="7"/>
  <c r="G71" i="7"/>
  <c r="AA70" i="7"/>
  <c r="U70" i="7"/>
  <c r="N70" i="7"/>
  <c r="G70" i="7"/>
  <c r="AA69" i="7"/>
  <c r="U69" i="7"/>
  <c r="N69" i="7"/>
  <c r="G69" i="7"/>
  <c r="AA68" i="7"/>
  <c r="U68" i="7"/>
  <c r="N68" i="7"/>
  <c r="G68" i="7"/>
  <c r="AA67" i="7"/>
  <c r="U67" i="7"/>
  <c r="N67" i="7"/>
  <c r="G67" i="7"/>
  <c r="AA66" i="7"/>
  <c r="U66" i="7"/>
  <c r="N66" i="7"/>
  <c r="G66" i="7"/>
  <c r="AA65" i="7"/>
  <c r="U65" i="7"/>
  <c r="N65" i="7"/>
  <c r="G65" i="7"/>
  <c r="AA64" i="7"/>
  <c r="U64" i="7"/>
  <c r="N64" i="7"/>
  <c r="G64" i="7"/>
  <c r="AA63" i="7"/>
  <c r="U63" i="7"/>
  <c r="N63" i="7"/>
  <c r="G63" i="7"/>
  <c r="AA62" i="7"/>
  <c r="U62" i="7"/>
  <c r="N62" i="7"/>
  <c r="G62" i="7"/>
  <c r="AA61" i="7"/>
  <c r="U61" i="7"/>
  <c r="N61" i="7"/>
  <c r="G61" i="7"/>
  <c r="AA60" i="7"/>
  <c r="U60" i="7"/>
  <c r="N60" i="7"/>
  <c r="G60" i="7"/>
  <c r="AA59" i="7"/>
  <c r="U59" i="7"/>
  <c r="N59" i="7"/>
  <c r="G59" i="7"/>
  <c r="AA58" i="7"/>
  <c r="U58" i="7"/>
  <c r="N58" i="7"/>
  <c r="G58" i="7"/>
  <c r="AA57" i="7"/>
  <c r="U57" i="7"/>
  <c r="N57" i="7"/>
  <c r="G57" i="7"/>
  <c r="AA56" i="7"/>
  <c r="U56" i="7"/>
  <c r="N56" i="7"/>
  <c r="G56" i="7"/>
  <c r="AA55" i="7"/>
  <c r="U55" i="7"/>
  <c r="N55" i="7"/>
  <c r="G55" i="7"/>
  <c r="AA54" i="7"/>
  <c r="U54" i="7"/>
  <c r="N54" i="7"/>
  <c r="G54" i="7"/>
  <c r="AA53" i="7"/>
  <c r="U53" i="7"/>
  <c r="N53" i="7"/>
  <c r="G53" i="7"/>
  <c r="AA52" i="7"/>
  <c r="U52" i="7"/>
  <c r="N52" i="7"/>
  <c r="G52" i="7"/>
  <c r="AA51" i="7"/>
  <c r="U51" i="7"/>
  <c r="N51" i="7"/>
  <c r="G51" i="7"/>
  <c r="AA50" i="7"/>
  <c r="U50" i="7"/>
  <c r="N50" i="7"/>
  <c r="G50" i="7"/>
  <c r="AA49" i="7"/>
  <c r="U49" i="7"/>
  <c r="N49" i="7"/>
  <c r="G49" i="7"/>
  <c r="AA48" i="7"/>
  <c r="U48" i="7"/>
  <c r="N48" i="7"/>
  <c r="G48" i="7"/>
  <c r="AA47" i="7"/>
  <c r="U47" i="7"/>
  <c r="N47" i="7"/>
  <c r="G47" i="7"/>
  <c r="AA46" i="7"/>
  <c r="U46" i="7"/>
  <c r="N46" i="7"/>
  <c r="G46" i="7"/>
  <c r="AA45" i="7"/>
  <c r="U45" i="7"/>
  <c r="N45" i="7"/>
  <c r="G45" i="7"/>
  <c r="AA44" i="7"/>
  <c r="U44" i="7"/>
  <c r="N44" i="7"/>
  <c r="G44" i="7"/>
  <c r="AA43" i="7"/>
  <c r="U43" i="7"/>
  <c r="N43" i="7"/>
  <c r="G43" i="7"/>
  <c r="AA42" i="7"/>
  <c r="U42" i="7"/>
  <c r="N42" i="7"/>
  <c r="G42" i="7"/>
  <c r="AA41" i="7"/>
  <c r="U41" i="7"/>
  <c r="N41" i="7"/>
  <c r="G41" i="7"/>
  <c r="AA40" i="7"/>
  <c r="U40" i="7"/>
  <c r="N40" i="7"/>
  <c r="G40" i="7"/>
  <c r="AA39" i="7"/>
  <c r="U39" i="7"/>
  <c r="N39" i="7"/>
  <c r="G39" i="7"/>
  <c r="AA38" i="7"/>
  <c r="U38" i="7"/>
  <c r="N38" i="7"/>
  <c r="G38" i="7"/>
  <c r="AA37" i="7"/>
  <c r="U37" i="7"/>
  <c r="N37" i="7"/>
  <c r="G37" i="7"/>
  <c r="AA36" i="7"/>
  <c r="U36" i="7"/>
  <c r="N36" i="7"/>
  <c r="G36" i="7"/>
  <c r="AA35" i="7"/>
  <c r="U35" i="7"/>
  <c r="N35" i="7"/>
  <c r="G35" i="7"/>
  <c r="AA34" i="7"/>
  <c r="U34" i="7"/>
  <c r="N34" i="7"/>
  <c r="G34" i="7"/>
  <c r="AA33" i="7"/>
  <c r="U33" i="7"/>
  <c r="N33" i="7"/>
  <c r="G33" i="7"/>
  <c r="AA32" i="7"/>
  <c r="U32" i="7"/>
  <c r="N32" i="7"/>
  <c r="G32" i="7"/>
  <c r="AA31" i="7"/>
  <c r="U31" i="7"/>
  <c r="N31" i="7"/>
  <c r="G31" i="7"/>
  <c r="AA30" i="7"/>
  <c r="U30" i="7"/>
  <c r="N30" i="7"/>
  <c r="G30" i="7"/>
  <c r="AA29" i="7"/>
  <c r="U29" i="7"/>
  <c r="N29" i="7"/>
  <c r="G29" i="7"/>
  <c r="AA28" i="7"/>
  <c r="U28" i="7"/>
  <c r="N28" i="7"/>
  <c r="G28" i="7"/>
  <c r="AA27" i="7"/>
  <c r="U27" i="7"/>
  <c r="N27" i="7"/>
  <c r="G27" i="7"/>
  <c r="AA26" i="7"/>
  <c r="U26" i="7"/>
  <c r="N26" i="7"/>
  <c r="G26" i="7"/>
  <c r="AA25" i="7"/>
  <c r="U25" i="7"/>
  <c r="N25" i="7"/>
  <c r="G25" i="7"/>
  <c r="AA24" i="7"/>
  <c r="U24" i="7"/>
  <c r="N24" i="7"/>
  <c r="G24" i="7"/>
  <c r="AA23" i="7"/>
  <c r="U23" i="7"/>
  <c r="N23" i="7"/>
  <c r="G23" i="7"/>
  <c r="AA22" i="7"/>
  <c r="U22" i="7"/>
  <c r="N22" i="7"/>
  <c r="G22" i="7"/>
  <c r="AA21" i="7"/>
  <c r="U21" i="7"/>
  <c r="N21" i="7"/>
  <c r="G21" i="7"/>
  <c r="AA20" i="7"/>
  <c r="U20" i="7"/>
  <c r="N20" i="7"/>
  <c r="G20" i="7"/>
  <c r="AA19" i="7"/>
  <c r="U19" i="7"/>
  <c r="N19" i="7"/>
  <c r="G19" i="7"/>
  <c r="AA18" i="7"/>
  <c r="U18" i="7"/>
  <c r="N18" i="7"/>
  <c r="G18" i="7"/>
  <c r="AA17" i="7"/>
  <c r="U17" i="7"/>
  <c r="N17" i="7"/>
  <c r="G17" i="7"/>
  <c r="AA16" i="7"/>
  <c r="U16" i="7"/>
  <c r="N16" i="7"/>
  <c r="G16" i="7"/>
  <c r="AA15" i="7"/>
  <c r="U15" i="7"/>
  <c r="N15" i="7"/>
  <c r="G15" i="7"/>
  <c r="AA14" i="7"/>
  <c r="U14" i="7"/>
  <c r="N14" i="7"/>
  <c r="G14" i="7"/>
  <c r="AA13" i="7"/>
  <c r="U13" i="7"/>
  <c r="N13" i="7"/>
  <c r="G13" i="7"/>
  <c r="AA12" i="7"/>
  <c r="U12" i="7"/>
  <c r="N12" i="7"/>
  <c r="G12" i="7"/>
  <c r="AA11" i="7"/>
  <c r="U11" i="7"/>
  <c r="N11" i="7"/>
  <c r="G11" i="7"/>
  <c r="AA10" i="7"/>
  <c r="U10" i="7"/>
  <c r="N10" i="7"/>
  <c r="G10" i="7"/>
  <c r="AA9" i="7"/>
  <c r="U9" i="7"/>
  <c r="N9" i="7"/>
  <c r="G9" i="7"/>
  <c r="AA8" i="7"/>
  <c r="U8" i="7"/>
  <c r="N8" i="7"/>
  <c r="G8" i="7"/>
  <c r="AA7" i="7"/>
  <c r="U7" i="7"/>
  <c r="N7" i="7"/>
  <c r="G7" i="7"/>
  <c r="Z6" i="7"/>
  <c r="Y6" i="7"/>
  <c r="X6" i="7"/>
  <c r="W6" i="7"/>
  <c r="V6" i="7"/>
  <c r="I107" i="4"/>
  <c r="I106" i="4"/>
  <c r="I105" i="4"/>
  <c r="I104" i="4"/>
  <c r="I103" i="4"/>
  <c r="I102" i="4"/>
  <c r="I101" i="4"/>
  <c r="I100" i="4"/>
  <c r="I99" i="4"/>
  <c r="I98" i="4"/>
  <c r="I97" i="4"/>
  <c r="I96" i="4"/>
  <c r="I95" i="4"/>
  <c r="I94" i="4"/>
  <c r="I93" i="4"/>
  <c r="I92" i="4"/>
  <c r="I91" i="4"/>
  <c r="I90" i="4"/>
  <c r="I89" i="4"/>
  <c r="I88" i="4"/>
  <c r="I87" i="4"/>
  <c r="I86" i="4"/>
  <c r="I85" i="4"/>
  <c r="I84" i="4"/>
  <c r="I83" i="4"/>
  <c r="I82" i="4"/>
  <c r="I81" i="4"/>
  <c r="I80" i="4"/>
  <c r="I79" i="4"/>
  <c r="I78" i="4"/>
  <c r="I77" i="4"/>
  <c r="I76" i="4"/>
  <c r="I75" i="4"/>
  <c r="I74" i="4"/>
  <c r="I73" i="4"/>
  <c r="I72" i="4"/>
  <c r="I71" i="4"/>
  <c r="I70" i="4"/>
  <c r="I69" i="4"/>
  <c r="I68" i="4"/>
  <c r="I67" i="4"/>
  <c r="I66" i="4"/>
  <c r="I65" i="4"/>
  <c r="I64" i="4"/>
  <c r="I63" i="4"/>
  <c r="I62" i="4"/>
  <c r="I61" i="4"/>
  <c r="I60" i="4"/>
  <c r="I59" i="4"/>
  <c r="I58" i="4"/>
  <c r="I57" i="4"/>
  <c r="I56" i="4"/>
  <c r="I55" i="4"/>
  <c r="I54" i="4"/>
  <c r="I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C25" i="1"/>
  <c r="C24" i="1"/>
  <c r="C23" i="1"/>
  <c r="C22" i="1"/>
</calcChain>
</file>

<file path=xl/sharedStrings.xml><?xml version="1.0" encoding="utf-8"?>
<sst xmlns="http://schemas.openxmlformats.org/spreadsheetml/2006/main" count="6363" uniqueCount="1419">
  <si>
    <t>Escenarios de aceptación en Gherkin</t>
  </si>
  <si>
    <t>Una fila por escenario. El identificador de la historia enlaza cada escenario con el backlog.</t>
  </si>
  <si>
    <t>La fila 7 es un ejemplo: sobrescríbela o bórrala antes de entregar. Redacta el resultado esperado en términos observables.</t>
  </si>
  <si>
    <t>IDENTIFICACIÓN</t>
  </si>
  <si>
    <t>ESCENARIO</t>
  </si>
  <si>
    <t>SEGUIMIENTO</t>
  </si>
  <si>
    <t>ID de la historia</t>
  </si>
  <si>
    <t>ID del escenario</t>
  </si>
  <si>
    <t>Tipo de escenario</t>
  </si>
  <si>
    <t>Dado (contexto inicial)</t>
  </si>
  <si>
    <t>Cuando (evento)</t>
  </si>
  <si>
    <t>Entonces (resultado esperado)</t>
  </si>
  <si>
    <t>Resultado de la verificación</t>
  </si>
  <si>
    <t>HU-001</t>
  </si>
  <si>
    <t>CA-01</t>
  </si>
  <si>
    <t>Camino principal</t>
  </si>
  <si>
    <t>que el usuario está en la pantalla de inicio sin sesión activa</t>
  </si>
  <si>
    <t>el sistema solicita el token de segundo factor</t>
  </si>
  <si>
    <t>Pendiente</t>
  </si>
  <si>
    <t>CA-02</t>
  </si>
  <si>
    <t>Excepción</t>
  </si>
  <si>
    <t>que el usuario ingresa credenciales inválidas</t>
  </si>
  <si>
    <t>envía el formulario de autenticación</t>
  </si>
  <si>
    <t>el sistema muestra un mensaje de error sin indicar cuál dato es incorrecto</t>
  </si>
  <si>
    <t>HU-002</t>
  </si>
  <si>
    <t>que el usuario recibió un token vigente en su correo corporativo</t>
  </si>
  <si>
    <t>lo ingresa correctamente</t>
  </si>
  <si>
    <t>el sistema valida el acceso</t>
  </si>
  <si>
    <t>lo deniega y muestra un mensaje de error</t>
  </si>
  <si>
    <t>HU-003</t>
  </si>
  <si>
    <t>que el usuario tiene una sesión activa</t>
  </si>
  <si>
    <t>selecciona Cerrar sesión</t>
  </si>
  <si>
    <t>Alterno</t>
  </si>
  <si>
    <t>que el usuario cerró sesión</t>
  </si>
  <si>
    <t>intenta acceder de nuevo a una funcionalidad protegida sin autenticarse</t>
  </si>
  <si>
    <t>el sistema lo redirige al inicio de sesión</t>
  </si>
  <si>
    <t>HU-004</t>
  </si>
  <si>
    <t>que el usuario autenticado ingresa su contraseña actual correcta y una nueva contraseña válida</t>
  </si>
  <si>
    <t>confirma el cambio</t>
  </si>
  <si>
    <t>el sistema actualiza la contraseña almacenada como hash con sal</t>
  </si>
  <si>
    <t>que la contraseña actual ingresada es incorrecta</t>
  </si>
  <si>
    <t>se envía el formulario de cambio de contraseña</t>
  </si>
  <si>
    <t>el sistema rechaza el cambio e informa el error</t>
  </si>
  <si>
    <t>HU-005</t>
  </si>
  <si>
    <t>que el Empleado selecciona un archivo PDF de 10 MB</t>
  </si>
  <si>
    <t>lo carga en el formulario de registro</t>
  </si>
  <si>
    <t>el sistema valida formato y tamaño y continúa con el registro</t>
  </si>
  <si>
    <t>que el Empleado selecciona un archivo DOCX o un PDF de 25 MB</t>
  </si>
  <si>
    <t>intenta cargarlo</t>
  </si>
  <si>
    <t>el sistema lo rechaza e informa el motivo</t>
  </si>
  <si>
    <t>HU-006</t>
  </si>
  <si>
    <t>un documento que superó las validaciones de carga</t>
  </si>
  <si>
    <t>el sistema lo registra</t>
  </si>
  <si>
    <t>genera sus metadatos y calcula su huella SHA-256 de forma automática</t>
  </si>
  <si>
    <t>un documento ya registrado</t>
  </si>
  <si>
    <t>se genera su huella nuevamente sobre el mismo contenido</t>
  </si>
  <si>
    <t>el resultado es exactamente el mismo hash</t>
  </si>
  <si>
    <t>HU-007</t>
  </si>
  <si>
    <t>que la huella del documento fue generada</t>
  </si>
  <si>
    <t>el backend la envía al chaincode</t>
  </si>
  <si>
    <t>la red Hyperledger Fabric la registra y retorna un txID válido</t>
  </si>
  <si>
    <t>que el registro en la red blockchain falla</t>
  </si>
  <si>
    <t>el sistema procesa la respuesta</t>
  </si>
  <si>
    <t>no muestra un mensaje de éxito al Empleado</t>
  </si>
  <si>
    <t>HU-008</t>
  </si>
  <si>
    <t>un Empleado con documentos registrados</t>
  </si>
  <si>
    <t>consulta Mis documentos</t>
  </si>
  <si>
    <t>ve únicamente los documentos que él cargó con su estado actual</t>
  </si>
  <si>
    <t>un documento sin verificaciones previas</t>
  </si>
  <si>
    <t>se consulta su estado</t>
  </si>
  <si>
    <t>su estado es Pendiente</t>
  </si>
  <si>
    <t>HU-009</t>
  </si>
  <si>
    <t>un documento con eventos registrados</t>
  </si>
  <si>
    <t>el Empleado consulta su trazabilidad</t>
  </si>
  <si>
    <t>ve el historial completo en orden cronológico con documento, acción, usuario, txID, fecha y hora</t>
  </si>
  <si>
    <t>un documento que no pertenece al Empleado autenticado</t>
  </si>
  <si>
    <t>intenta consultar su trazabilidad</t>
  </si>
  <si>
    <t>el sistema le deniega el acceso</t>
  </si>
  <si>
    <t>HU-010</t>
  </si>
  <si>
    <t>un documento previamente registrado</t>
  </si>
  <si>
    <t>el Verificador lo selecciona</t>
  </si>
  <si>
    <t>el sistema confirma su existencia y continúa el flujo de verificación</t>
  </si>
  <si>
    <t>un identificador de documento que no existe</t>
  </si>
  <si>
    <t>se consulta</t>
  </si>
  <si>
    <t>el sistema informa que el documento no está registrado</t>
  </si>
  <si>
    <t>HU-011</t>
  </si>
  <si>
    <t>un documento existente</t>
  </si>
  <si>
    <t>el Verificador consulta su huella</t>
  </si>
  <si>
    <t>el sistema muestra el hash SHA-256 registrado</t>
  </si>
  <si>
    <t>un usuario con rol Empleado</t>
  </si>
  <si>
    <t>intenta ver la huella completa de un documento ajeno</t>
  </si>
  <si>
    <t>HU-012</t>
  </si>
  <si>
    <t>un archivo PDF válido cargado por el Verificador</t>
  </si>
  <si>
    <t>se envía</t>
  </si>
  <si>
    <t>el sistema inicia su validación de formato y tamaño</t>
  </si>
  <si>
    <t>un archivo de 30 MB</t>
  </si>
  <si>
    <t>se valida</t>
  </si>
  <si>
    <t>el sistema lo rechaza e informa el límite permitido</t>
  </si>
  <si>
    <t>HU-013</t>
  </si>
  <si>
    <t>dos huellas idénticas entre el documento registrado y el cargado</t>
  </si>
  <si>
    <t>se comparan</t>
  </si>
  <si>
    <t>el sistema muestra Integridad confirmada</t>
  </si>
  <si>
    <t>dos huellas distintas</t>
  </si>
  <si>
    <t>el sistema muestra Integridad comprometida y presenta ambas huellas como evidencia</t>
  </si>
  <si>
    <t>HU-014</t>
  </si>
  <si>
    <t>un resultado de verificación con huellas coincidentes</t>
  </si>
  <si>
    <t>se procesa</t>
  </si>
  <si>
    <t>el estado del documento cambia a Verificado y el evento queda registrado en el ledger con su txID</t>
  </si>
  <si>
    <t>que el Verificador concluyó una verificación</t>
  </si>
  <si>
    <t>selecciona Nueva verificación</t>
  </si>
  <si>
    <t>el sistema muestra el formulario vacío de selección de documento</t>
  </si>
  <si>
    <t>HU-015</t>
  </si>
  <si>
    <t>que el Verificador accede al listado de documentos</t>
  </si>
  <si>
    <t>lo consulta</t>
  </si>
  <si>
    <t>ve todos los documentos registrados con sus seis campos mínimos</t>
  </si>
  <si>
    <t>un documento cuya huella no está autorizada para el rol consultante</t>
  </si>
  <si>
    <t>se lista</t>
  </si>
  <si>
    <t>el campo de huella se muestra restringido</t>
  </si>
  <si>
    <t>HU-016</t>
  </si>
  <si>
    <t>que el Verificador accede a la trazabilidad general</t>
  </si>
  <si>
    <t>la consulta</t>
  </si>
  <si>
    <t>ve los eventos de todos los documentos registrados en orden cronológico</t>
  </si>
  <si>
    <t>el conjunto de eventos del ledger</t>
  </si>
  <si>
    <t>se listan</t>
  </si>
  <si>
    <t>se muestran los seis campos definidos (Documento, Acción, Usuario, txID, Fecha, Resultado)</t>
  </si>
  <si>
    <t>HU-017</t>
  </si>
  <si>
    <t>que el Administrador inicia sesión</t>
  </si>
  <si>
    <t>accede al panel general</t>
  </si>
  <si>
    <t>ve el resumen documental consolidado con los cuatro totales definidos</t>
  </si>
  <si>
    <t>un conjunto de documentos con distintos estados</t>
  </si>
  <si>
    <t>se calcula el resumen</t>
  </si>
  <si>
    <t>la suma de los totales por estado coincide con el total general</t>
  </si>
  <si>
    <t>HU-018</t>
  </si>
  <si>
    <t>que el Administrador diligencia el formulario de creación de usuario con un correo no registrado</t>
  </si>
  <si>
    <t>confirma la creación</t>
  </si>
  <si>
    <t>el sistema crea el usuario en estado Activo con uno de los tres roles predefinidos</t>
  </si>
  <si>
    <t>un usuario activo con documentos previamente registrados</t>
  </si>
  <si>
    <t>el Administrador lo desactiva</t>
  </si>
  <si>
    <t>conserva su historial de trazabilidad y ya no puede iniciar sesión</t>
  </si>
  <si>
    <t>HU-019</t>
  </si>
  <si>
    <t>que el Administrador accede al listado de documentos</t>
  </si>
  <si>
    <t>ve todos los documentos registrados con sus seis campos mínimos, sin exponer el contenido del archivo</t>
  </si>
  <si>
    <t>un documento registrado</t>
  </si>
  <si>
    <t>se lista para el Administrador</t>
  </si>
  <si>
    <t>se muestran los mismos campos mínimos definidos para el rol Verificador</t>
  </si>
  <si>
    <t>HU-020</t>
  </si>
  <si>
    <t>que el Administrador accede a la trazabilidad</t>
  </si>
  <si>
    <t>ve los eventos de todos los documentos registrados con txID y Resultado</t>
  </si>
  <si>
    <t>el nivel de detalle mostrado al Verificador en RF-040</t>
  </si>
  <si>
    <t>se compara con el panel del Administrador</t>
  </si>
  <si>
    <t>el Administrador ve un nivel de detalle igual o mayor</t>
  </si>
  <si>
    <t>HU-021</t>
  </si>
  <si>
    <t>el archivo docker-compose.yml del proyecto</t>
  </si>
  <si>
    <t>se ejecuta en el entorno de pruebas</t>
  </si>
  <si>
    <t>todos los componentes (frontend, backend, chaincode, red Hyperledger Fabric, MongoDB) arrancan correctamente como contenedores</t>
  </si>
  <si>
    <t>que el frontend necesita interactuar con la red blockchain</t>
  </si>
  <si>
    <t>se revisa el código fuente</t>
  </si>
  <si>
    <t>ninguna llamada del frontend se dirige directamente a los nodos de Hyperledger Fabric</t>
  </si>
  <si>
    <t>Plantilla de requisitos y de historias de usuario</t>
  </si>
  <si>
    <t>Especificación conforme a ISO/IEC/IEEE 29148:2018 · Atributos de calidad según ISO/IEC 25010:2023</t>
  </si>
  <si>
    <t>IDENTIFICACIÓN DEL PROYECTO</t>
  </si>
  <si>
    <t>Proyecto o sistema</t>
  </si>
  <si>
    <t>MVP de un sistema web para la verificación de integridad y trazabilidad documental en contratos laborales mediante blockchain permisionada</t>
  </si>
  <si>
    <t>Organización o cliente</t>
  </si>
  <si>
    <t>Empresa de servicios tecnológicos en Bogotá (caso de aplicación) / Universidad Católica de Colombia</t>
  </si>
  <si>
    <t>Equipo de trabajo</t>
  </si>
  <si>
    <t>Laura Sofia Diaz Suarez; Sofia Ortiz Daza</t>
  </si>
  <si>
    <t>Responsable de la especificación</t>
  </si>
  <si>
    <t>Versión del documento</t>
  </si>
  <si>
    <t>2.0</t>
  </si>
  <si>
    <t>Fecha de la versión</t>
  </si>
  <si>
    <t>CONTENIDO REGISTRADO EN EL LIBRO</t>
  </si>
  <si>
    <t>Requisitos funcionales</t>
  </si>
  <si>
    <t>Requisitos no funcionales</t>
  </si>
  <si>
    <t>Historias de usuario</t>
  </si>
  <si>
    <t>Universidad Católica de Colombia · Facultad de Ingeniería · Ingeniería de Sistemas y Computación · Solangie Garavito</t>
  </si>
  <si>
    <t>Instrucciones de uso</t>
  </si>
  <si>
    <t>Léelas antes de diligenciar. Las convenciones aplican a todas las hojas de captura.</t>
  </si>
  <si>
    <t>HOJAS DEL LIBRO</t>
  </si>
  <si>
    <t>Hoja</t>
  </si>
  <si>
    <t>Qué se registra allí</t>
  </si>
  <si>
    <t>Quién la usa</t>
  </si>
  <si>
    <t>Portada</t>
  </si>
  <si>
    <t>Datos del proyecto y conteo automático de lo ya capturado.</t>
  </si>
  <si>
    <t>Equipo, al iniciar y al cerrar cada entrega</t>
  </si>
  <si>
    <t>Instrucciones</t>
  </si>
  <si>
    <t>Convenciones de color, numeración de identificadores y criterios de calidad exigidos.</t>
  </si>
  <si>
    <t>Todo el equipo, antes de capturar</t>
  </si>
  <si>
    <t>RF</t>
  </si>
  <si>
    <t>Una fila por capacidad que el sistema debe ofrecer: flujo, reglas y criterios verificables.</t>
  </si>
  <si>
    <t>Analista de requisitos</t>
  </si>
  <si>
    <t>RNF</t>
  </si>
  <si>
    <t>Una fila por restricción de calidad, con la medida, el umbral y el método que la comprueba.</t>
  </si>
  <si>
    <t>Analista de requisitos y arquitecto</t>
  </si>
  <si>
    <t>Ficha_RF</t>
  </si>
  <si>
    <t>Vista de un requisito funcional en formato de una página, para imprimir o anexar.</t>
  </si>
  <si>
    <t>Quien prepara el informe</t>
  </si>
  <si>
    <t>Ficha_RNF</t>
  </si>
  <si>
    <t>Vista de un requisito no funcional en formato de una página, para imprimir o anexar.</t>
  </si>
  <si>
    <t>Historias_Usuario</t>
  </si>
  <si>
    <t>Narrativa, trazabilidad hacia requisitos, estimación y verificación de INVEST y de terminado.</t>
  </si>
  <si>
    <t>Responsable del producto y equipo</t>
  </si>
  <si>
    <t>Criterios_Gherkin</t>
  </si>
  <si>
    <t>Un escenario por fila, asociado a la historia mediante su identificador.</t>
  </si>
  <si>
    <t>Equipo de desarrollo y pruebas</t>
  </si>
  <si>
    <t>Definición_Terminado</t>
  </si>
  <si>
    <t>Acuerdo sobre cuándo una historia se da por concluida y con qué evidencia se sustenta.</t>
  </si>
  <si>
    <t>Equipo completo, una sola vez</t>
  </si>
  <si>
    <t>Listas</t>
  </si>
  <si>
    <t>Catálogos que alimentan las listas desplegables; se amplían aquí, nunca dentro de la captura.</t>
  </si>
  <si>
    <t>Quien administra el libro</t>
  </si>
  <si>
    <t>CONVENCIONES DE COLOR</t>
  </si>
  <si>
    <t>Formato de la celda</t>
  </si>
  <si>
    <t>Qué significa</t>
  </si>
  <si>
    <t>Acción esperada</t>
  </si>
  <si>
    <t>Fondo blanco con borde</t>
  </si>
  <si>
    <t>Campo de captura libre.</t>
  </si>
  <si>
    <t>Escribe el contenido.</t>
  </si>
  <si>
    <t>Fondo gris</t>
  </si>
  <si>
    <t>Campo derivado de otra celda del libro.</t>
  </si>
  <si>
    <t>No escribas: se recalcula solo.</t>
  </si>
  <si>
    <t>Fondo ámbar</t>
  </si>
  <si>
    <t>Campo que gobierna lo que muestra el resto de la hoja.</t>
  </si>
  <si>
    <t>Elige un valor de la lista.</t>
  </si>
  <si>
    <t>NUMERACIÓN DE IDENTIFICADORES</t>
  </si>
  <si>
    <t>Elemento</t>
  </si>
  <si>
    <t>Patrón</t>
  </si>
  <si>
    <t>Regla</t>
  </si>
  <si>
    <t>Requisito funcional</t>
  </si>
  <si>
    <t>RF-001, RF-002, ...</t>
  </si>
  <si>
    <t>Consecutivo en la hoja RF; un identificador retirado no se reutiliza.</t>
  </si>
  <si>
    <t>Requisito no funcional</t>
  </si>
  <si>
    <t>RNF-001, RNF-002, ...</t>
  </si>
  <si>
    <t>Consecutivo en la hoja RNF; un identificador retirado no se reutiliza.</t>
  </si>
  <si>
    <t>Historia de usuario</t>
  </si>
  <si>
    <t>HU-001, HU-002, ...</t>
  </si>
  <si>
    <t>Consecutivo en el backlog, independiente del sprint en que se ejecute.</t>
  </si>
  <si>
    <t>Épica</t>
  </si>
  <si>
    <t>EP-01, EP-02, ...</t>
  </si>
  <si>
    <t>Agrupa historias que comparten un mismo objetivo de negocio.</t>
  </si>
  <si>
    <t>Escenario de aceptación</t>
  </si>
  <si>
    <t>CA-01, CA-02, ...</t>
  </si>
  <si>
    <t>Reinicia en cada historia; la pareja historia y escenario es única.</t>
  </si>
  <si>
    <t>Regla de negocio</t>
  </si>
  <si>
    <t>RN-01, RN-02, ...</t>
  </si>
  <si>
    <t>Se enuncia dentro del requisito funcional que la impone.</t>
  </si>
  <si>
    <t>CRITERIOS DE CALIDAD EXIGIDOS A CADA REQUISITO</t>
  </si>
  <si>
    <t>Característica</t>
  </si>
  <si>
    <t>Cómo se comprueba en la revisión</t>
  </si>
  <si>
    <t>Señal de incumplimiento</t>
  </si>
  <si>
    <t>Necesario</t>
  </si>
  <si>
    <t>Al retirarlo queda sin cubrir una necesidad declarada por una parte interesada.</t>
  </si>
  <si>
    <t>Nadie reclama su ausencia.</t>
  </si>
  <si>
    <t>Apropiado</t>
  </si>
  <si>
    <t>Corresponde al alcance del sistema especificado y no al de un componente interno.</t>
  </si>
  <si>
    <t>Impone una tecnología o un detalle de implementación.</t>
  </si>
  <si>
    <t>No ambiguo</t>
  </si>
  <si>
    <t>Dos lectores distintos extraen la misma conclusión sobre lo exigido.</t>
  </si>
  <si>
    <t>Aparecen adjetivos sin medida como rápido, amigable o robusto.</t>
  </si>
  <si>
    <t>Completo</t>
  </si>
  <si>
    <t>Se entiende sin consultar otro documento ni recordar una conversación previa.</t>
  </si>
  <si>
    <t>Requiere preguntar al autor para saber qué hace el sistema.</t>
  </si>
  <si>
    <t>Singular</t>
  </si>
  <si>
    <t>Enuncia una sola capacidad o restricción.</t>
  </si>
  <si>
    <t>Une varias exigencias con la conjunción y.</t>
  </si>
  <si>
    <t>Factible</t>
  </si>
  <si>
    <t>Es realizable con el costo, el plazo y la técnica disponibles, con riesgo aceptable.</t>
  </si>
  <si>
    <t>Nadie puede estimar su esfuerzo.</t>
  </si>
  <si>
    <t>Verificable</t>
  </si>
  <si>
    <t>Existe una prueba, un análisis, una inspección o una demostración que decide si se cumple.</t>
  </si>
  <si>
    <t>No se sabe qué evidencia lo daría por satisfecho.</t>
  </si>
  <si>
    <t>Correcto</t>
  </si>
  <si>
    <t>Refleja fielmente la necesidad de la que proviene.</t>
  </si>
  <si>
    <t>La parte interesada no se reconoce en el enunciado.</t>
  </si>
  <si>
    <t>Conforme</t>
  </si>
  <si>
    <t>Respeta la plantilla y el vocabulario acordados para el proyecto.</t>
  </si>
  <si>
    <t>Mezcla formatos o inventa términos propios.</t>
  </si>
  <si>
    <t>REFERENCIAS</t>
  </si>
  <si>
    <t>ISO/IEC/IEEE 29148:2018. Systems and software engineering. Life cycle processes. Requirements engineering.</t>
  </si>
  <si>
    <t>ISO/IEC 25010:2023. Systems and software Quality Requirements and Evaluation (SQuaRE). Product quality model.</t>
  </si>
  <si>
    <t>Una fila por requisito. Estructura tomada de la plantilla SRS conforme a ISO/IEC/IEEE 29148:2018.</t>
  </si>
  <si>
    <t>La fila 7 es un ejemplo: sobrescríbela o bórrala antes de entregar. Las columnas con lista desplegable solo aceptan valores del catálogo.</t>
  </si>
  <si>
    <t>1. CONTEXTO Y JUSTIFICACIÓN</t>
  </si>
  <si>
    <t>2. CLASIFICACIÓN</t>
  </si>
  <si>
    <t>3. ESPECIFICACIÓN DETALLADA</t>
  </si>
  <si>
    <t>4. RELACIONES</t>
  </si>
  <si>
    <t>ID del requisito</t>
  </si>
  <si>
    <t>Título</t>
  </si>
  <si>
    <t>Versión</t>
  </si>
  <si>
    <t>Fecha de versión</t>
  </si>
  <si>
    <t>Autor</t>
  </si>
  <si>
    <t>Descripción general</t>
  </si>
  <si>
    <t>Fuente o parte interesada</t>
  </si>
  <si>
    <t>Justificación</t>
  </si>
  <si>
    <t>Prioridad (MoSCoW)</t>
  </si>
  <si>
    <t>Importancia</t>
  </si>
  <si>
    <t>Estado</t>
  </si>
  <si>
    <t>Precondiciones</t>
  </si>
  <si>
    <t>Disparador</t>
  </si>
  <si>
    <t>Flujo principal</t>
  </si>
  <si>
    <t>Reglas de negocio y validaciones</t>
  </si>
  <si>
    <t>Criterios de aceptación verificables</t>
  </si>
  <si>
    <t>Dependencias</t>
  </si>
  <si>
    <t>Requisitos hijos</t>
  </si>
  <si>
    <t>Comentarios</t>
  </si>
  <si>
    <t>RF-001</t>
  </si>
  <si>
    <t>Área de TI - Seguridad de la información</t>
  </si>
  <si>
    <t>Los tres roles definen el alcance funcional del MVP y habilitan el control de acceso por rol (RBAC) exigido en RNF-03.</t>
  </si>
  <si>
    <t>Debe (Must)</t>
  </si>
  <si>
    <t>Alta</t>
  </si>
  <si>
    <t>Aprobado</t>
  </si>
  <si>
    <t>El usuario no tiene sesión activa.</t>
  </si>
  <si>
    <t>El usuario ingresa a la URL del sistema.</t>
  </si>
  <si>
    <t>Ninguna</t>
  </si>
  <si>
    <t>RF-002</t>
  </si>
  <si>
    <t>Autenticación mediante credenciales</t>
  </si>
  <si>
    <t>Es la base del control de acceso y se complementa con el segundo factor de RF-003, conforme a RNF-02.</t>
  </si>
  <si>
    <t>El usuario visualiza el formulario de credenciales.</t>
  </si>
  <si>
    <t>RN-01: Las contraseñas se validan contra el hash almacenado (RNF-01), nunca en texto plano.</t>
  </si>
  <si>
    <t>CA-01: Dado credenciales válidas, cuando se envía el formulario, entonces el sistema solicita el token de segundo factor. CA-02: Dado credenciales inválidas, cuando se envía el formulario, entonces el sistema muestra un mensaje de error sin indicar cuál dato es incorrecto.</t>
  </si>
  <si>
    <t>RF-003</t>
  </si>
  <si>
    <t>Autenticación de segundo factor</t>
  </si>
  <si>
    <t>Envía un token de verificación al correo corporativo registrado del usuario como segundo factor.</t>
  </si>
  <si>
    <t>Refuerza la autenticación exigida por RNF-02 y reduce el riesgo de suplantación en el acceso a evidencia documental sensible.</t>
  </si>
  <si>
    <t>Las credenciales ingresadas en RF-002 fueron validadas.</t>
  </si>
  <si>
    <t>El sistema valida correctamente usuario y contraseña.</t>
  </si>
  <si>
    <t>1. El sistema genera un token de un solo uso. 2. El sistema lo envía al correo corporativo registrado. 3. El sistema muestra el campo para ingresar el token.</t>
  </si>
  <si>
    <t>RN-01: El token tiene un tiempo de expiración definido y solo puede usarse una vez.</t>
  </si>
  <si>
    <t>CA-01: Dado que las credenciales son válidas, cuando el sistema las procesa, entonces envía el token al correo registrado del usuario en menos de un minuto.</t>
  </si>
  <si>
    <t>RF-004</t>
  </si>
  <si>
    <t>Pendiente de validar el canal exclusivo de correo corporativo frente a alternativas (SMS, app autenticadora); ver nota en RNF-02.</t>
  </si>
  <si>
    <t>Validación del token</t>
  </si>
  <si>
    <t>Valida el token de segundo factor ingresado por el usuario antes de conceder acceso.</t>
  </si>
  <si>
    <t>Es el paso que cierra el ciclo de autenticación de doble factor exigido en RNF-02.</t>
  </si>
  <si>
    <t>El token fue enviado (RF-003).</t>
  </si>
  <si>
    <t>El usuario ingresa el token recibido.</t>
  </si>
  <si>
    <t>1. El usuario ingresa el token. 2. El sistema compara el token ingresado contra el generado. 3. Si coincide y no ha expirado, el sistema continúa con RF-005.</t>
  </si>
  <si>
    <t>RN-01: Un token expirado o incorrecto no concede acceso. RN-02: Se define un número máximo de intentos antes de bloquear temporalmente el proceso.</t>
  </si>
  <si>
    <t>CA-01: Dado un token correcto y vigente, cuando se valida, entonces el sistema concede acceso. CA-02: Dado un token incorrecto o expirado, cuando se valida, entonces el sistema deniega el acceso y lo informa al usuario.</t>
  </si>
  <si>
    <t>RF-005</t>
  </si>
  <si>
    <t>El token fue validado (RF-004).</t>
  </si>
  <si>
    <t>El sistema concluye la validación del token.</t>
  </si>
  <si>
    <t>RF-006</t>
  </si>
  <si>
    <t>Redirección según rol</t>
  </si>
  <si>
    <t>Muestra al usuario el panel principal y las funcionalidades correspondientes a su rol tras autenticarse.</t>
  </si>
  <si>
    <t>Área de TI / Usuarios finales de cada rol</t>
  </si>
  <si>
    <t>Garantiza que cada usuario solo visualice las funcionalidades autorizadas para su rol, en línea con RNF-08.</t>
  </si>
  <si>
    <t>Debería (Should)</t>
  </si>
  <si>
    <t>Media</t>
  </si>
  <si>
    <t>El acceso fue concedido (RF-005).</t>
  </si>
  <si>
    <t>El sistema concede el acceso.</t>
  </si>
  <si>
    <t>1. El sistema identifica el rol del usuario autenticado. 2. El sistema redirige al panel correspondiente (Empleado, Verificador o Administrador).</t>
  </si>
  <si>
    <t>RN-01: El contenido del panel se limita a las funcionalidades habilitadas para el rol.</t>
  </si>
  <si>
    <t>CA-01: Dado un usuario con rol Empleado, cuando inicia sesión, entonces ve el panel de carga y consulta de documentos, sin las opciones administrativas.</t>
  </si>
  <si>
    <t>Ninguno</t>
  </si>
  <si>
    <t>RF-007</t>
  </si>
  <si>
    <t>Cierre de sesión</t>
  </si>
  <si>
    <t>Permite a cualquier usuario autenticado cerrar su sesión de forma segura.</t>
  </si>
  <si>
    <t>Complementa la gestión segura de sesiones exigida en RNF-07.</t>
  </si>
  <si>
    <t>El usuario tiene una sesión activa.</t>
  </si>
  <si>
    <t>El usuario selecciona la opción Cerrar sesión.</t>
  </si>
  <si>
    <t>1. El usuario selecciona cerrar sesión. 2. El sistema invalida el token de sesión activo. 3. El sistema redirige a la pantalla de selección de rol (RF-001).</t>
  </si>
  <si>
    <t>RN-01: Una sesión cerrada no puede reutilizarse para acceder a funcionalidades protegidas.</t>
  </si>
  <si>
    <t>CA-01: Dado que el usuario cierra sesión, cuando intenta acceder de nuevo a una funcionalidad protegida sin autenticarse, entonces el sistema lo redirige al inicio de sesión.</t>
  </si>
  <si>
    <t>RF-008</t>
  </si>
  <si>
    <t>Carga de documentos</t>
  </si>
  <si>
    <t>Permite al usuario con rol Empleado cargar documentos contractuales en PDF para su registro y posterior verificación de integridad.</t>
  </si>
  <si>
    <t>Área de Gestión Humana / Empleado firmante</t>
  </si>
  <si>
    <t>Es la funcionalidad central del MVP: da inicio al proceso de generación de evidencia de integridad documental descrito en el alcance del proyecto.</t>
  </si>
  <si>
    <t>El usuario está autenticado con rol Empleado.</t>
  </si>
  <si>
    <t>El empleado selecciona Cargar documento.</t>
  </si>
  <si>
    <t>1. El sistema muestra el formulario de carga. 2. El empleado selecciona el archivo PDF. 3. El sistema ejecuta las validaciones de RF-009 a RF-012 antes de continuar con RF-013.</t>
  </si>
  <si>
    <t>RN-01: Solo un usuario con rol Empleado puede iniciar la carga.</t>
  </si>
  <si>
    <t>CA-01: Dado un archivo PDF válido, cuando el empleado lo carga, entonces el sistema inicia el proceso de registro.</t>
  </si>
  <si>
    <t>RF-009, RF-010, RF-011, RF-012</t>
  </si>
  <si>
    <t>RF-009</t>
  </si>
  <si>
    <t>Restricción de formato</t>
  </si>
  <si>
    <t>El sistema acepta exclusivamente archivos con formato PDF.</t>
  </si>
  <si>
    <t>Alcance técnico del proyecto (documentos contractuales en PDF)</t>
  </si>
  <si>
    <t>El alcance del MVP delimita la gestión documental exclusivamente a contratos laborales y acuerdos de confidencialidad en formato PDF.</t>
  </si>
  <si>
    <t>El empleado seleccionó un archivo para cargar.</t>
  </si>
  <si>
    <t>El sistema recibe el archivo seleccionado.</t>
  </si>
  <si>
    <t>1. El sistema verifica la extensión y el tipo MIME del archivo. 2. Si es PDF, continúa el proceso; si no, rechaza la carga.</t>
  </si>
  <si>
    <t>RN-01: Formatos distintos a PDF (DOCX, XML, imágenes) son rechazados, conforme a las limitaciones del proyecto.</t>
  </si>
  <si>
    <t>CA-01: Dado un archivo con extensión .docx, cuando se intenta cargar, entonces el sistema lo rechaza e informa el motivo.</t>
  </si>
  <si>
    <t>Alineado con RNF-23 y con la limitación funcional del proyecto (solo PDF).</t>
  </si>
  <si>
    <t>RF-010</t>
  </si>
  <si>
    <t>Restricción de carga individual</t>
  </si>
  <si>
    <t>Permite la carga de un único documento por operación; no admite cargas masivas o por lotes.</t>
  </si>
  <si>
    <t>Alcance técnico del proyecto</t>
  </si>
  <si>
    <t>El MVP no contempla procesamiento masivo, conforme a las limitaciones definidas (sin pruebas de carga a escala empresarial).</t>
  </si>
  <si>
    <t>El empleado accede al formulario de carga.</t>
  </si>
  <si>
    <t>El empleado intenta seleccionar archivos.</t>
  </si>
  <si>
    <t>1. El formulario permite seleccionar un solo archivo. 2. Si el usuario intenta seleccionar más de uno, el sistema conserva solo el primero o muestra un aviso.</t>
  </si>
  <si>
    <t>RN-01: No se permite selección múltiple de archivos en el control de carga.</t>
  </si>
  <si>
    <t>CA-01: Dado que el empleado intenta seleccionar varios archivos a la vez, cuando confirma la selección, entonces el sistema le solicita elegir un único archivo.</t>
  </si>
  <si>
    <t>RF-011</t>
  </si>
  <si>
    <t>Restricción de tamaño</t>
  </si>
  <si>
    <t>Acepta únicamente archivos PDF con tamaño igual o inferior a 20 MB.</t>
  </si>
  <si>
    <t>Decisión técnica del equipo de desarrollo (arquitectura y capacidad de procesamiento)</t>
  </si>
  <si>
    <t>Limita el consumo de recursos de hashing y de almacenamiento de metadatos, preservando el rendimiento definido en RNF-09 y RNF-10.</t>
  </si>
  <si>
    <t>El archivo fue seleccionado y es formato PDF (RF-009).</t>
  </si>
  <si>
    <t>El sistema recibe el archivo para su validación.</t>
  </si>
  <si>
    <t>1. El sistema mide el tamaño del archivo. 2. Si es ≤20 MB, continúa el proceso; si no, lo rechaza.</t>
  </si>
  <si>
    <t>RN-01: Archivos mayores a 20 MB no se procesan.</t>
  </si>
  <si>
    <t>CA-01: Dado un archivo PDF de 25 MB, cuando se intenta cargar, entonces el sistema lo rechaza e informa el límite permitido.</t>
  </si>
  <si>
    <t>Corresponde al umbral definido en RNF-24; es una decisión de diseño del proyecto, no proviene de una norma externa.</t>
  </si>
  <si>
    <t>RF-012</t>
  </si>
  <si>
    <t>Validación previa de documentos</t>
  </si>
  <si>
    <t>Valida el formato y tamaño del archivo antes de iniciar su registro.</t>
  </si>
  <si>
    <t>Equipo de desarrollo</t>
  </si>
  <si>
    <t>Evita procesar documentos que no cumplen las restricciones del sistema antes de invertir recursos en el registro (RF-013 a RF-016).</t>
  </si>
  <si>
    <t>El archivo fue seleccionado.</t>
  </si>
  <si>
    <t>El empleado confirma la carga del archivo.</t>
  </si>
  <si>
    <t>1. El sistema ejecuta en conjunto las validaciones de formato (RF-009) y tamaño (RF-011). 2. Si ambas se cumplen, continúa con RF-013; si alguna falla, detiene el proceso y notifica el error.</t>
  </si>
  <si>
    <t>RN-01: El registro (RF-013) no inicia si alguna validación previa falla.</t>
  </si>
  <si>
    <t>CA-01: Dado un archivo que no cumple formato o tamaño, cuando se valida, entonces el sistema detiene el proceso antes de generar metadatos o huella.</t>
  </si>
  <si>
    <t>RF-009, RF-011</t>
  </si>
  <si>
    <t>RF-013</t>
  </si>
  <si>
    <t>Registro del documento</t>
  </si>
  <si>
    <t>Registra los metadatos asociados al documento cargado (identificador, nombre, usuario responsable y fecha de registro, como mínimo).</t>
  </si>
  <si>
    <t>Empleado / Área de Gestión Humana</t>
  </si>
  <si>
    <t>Provee la información operativa necesaria para la consulta (RF-018, RF-019) y la trazabilidad (RF-021, RF-022) del documento.</t>
  </si>
  <si>
    <t>El archivo pasó las validaciones previas (RF-012).</t>
  </si>
  <si>
    <t>El sistema confirma que el archivo es válido.</t>
  </si>
  <si>
    <t>1. El sistema genera un identificador único para el documento. 2. El sistema almacena en la base de datos no relacional el nombre, identificador, usuario responsable y fecha de registro. 3. El sistema continúa con RF-014.</t>
  </si>
  <si>
    <t>RN-01: El contenido del documento no se almacena en la blockchain (ver RNF-04); solo se conservan metadatos y huella criptográfica.</t>
  </si>
  <si>
    <t>CA-01: Dado un documento válido, cuando se registra, entonces el sistema le asigna un identificador único y guarda sus metadatos.</t>
  </si>
  <si>
    <t>RF-014</t>
  </si>
  <si>
    <t>Generación de huella criptográfica</t>
  </si>
  <si>
    <t>Genera automáticamente una huella criptográfica mediante SHA-256 a partir del contenido del documento cargado.</t>
  </si>
  <si>
    <t>El uso de SHA-256 está definido en el alcance técnico del proyecto y es el mecanismo central de verificación de integridad documental [34].</t>
  </si>
  <si>
    <t>El documento fue registrado (RF-013).</t>
  </si>
  <si>
    <t>El sistema concluye el registro de metadatos.</t>
  </si>
  <si>
    <t>1. El sistema procesa el contenido binario del documento con el algoritmo SHA-256. 2. El sistema obtiene la huella digital de 256 bits.</t>
  </si>
  <si>
    <t>RN-01: La huella se genera sobre el contenido completo del documento, de forma automática, sin intervención manual (RNF-11).</t>
  </si>
  <si>
    <t>CA-01: Dado un documento registrado, cuando se genera su huella, entonces dos ejecuciones sobre el mismo contenido producen exactamente el mismo hash.</t>
  </si>
  <si>
    <t>RF-015</t>
  </si>
  <si>
    <t>SHA-256 pertenece a la familia SHA-2 estandarizada por el NIST [34]; se eligió por ser el algoritmo utilizado internamente por Hyperledger Fabric [19].</t>
  </si>
  <si>
    <t>Registro de la huella criptográfica</t>
  </si>
  <si>
    <t>Registra la huella criptográfica generada como evidencia de integridad del documento.</t>
  </si>
  <si>
    <t>Provee la evidencia técnica verificable exigida por la Ley 527 de 1999 para sostener la integridad de un mensaje de datos [10].</t>
  </si>
  <si>
    <t>La huella fue generada (RF-014).</t>
  </si>
  <si>
    <t>El sistema obtiene el hash SHA-256 del documento.</t>
  </si>
  <si>
    <t>1. El sistema asocia la huella al identificador del documento. 2. El sistema envía la huella al módulo de registro en blockchain (RF-016).</t>
  </si>
  <si>
    <t>RN-01: La huella registrada es la única evidencia de integridad reconocida por el sistema para comparaciones posteriores.</t>
  </si>
  <si>
    <t>CA-01: Dado que la huella fue generada, cuando se registra, entonces queda asociada de forma unívoca al identificador del documento.</t>
  </si>
  <si>
    <t>RF-016</t>
  </si>
  <si>
    <t>Registro en blockchain</t>
  </si>
  <si>
    <t>Registra en la red blockchain permisionada (Hyperledger Fabric) la huella criptográfica y los eventos asociados al documento, sin almacenar el archivo PDF directamente en la blockchain.</t>
  </si>
  <si>
    <t>Corresponde al modelo de persistencia híbrida definido en el proyecto: la blockchain conserva evidencia inmutable sin exponer el contenido del documento [19], [31].</t>
  </si>
  <si>
    <t>La huella fue registrada en el módulo documental (RF-015).</t>
  </si>
  <si>
    <t>El sistema envía la huella al chaincode.</t>
  </si>
  <si>
    <t>1. El backend invoca al chaincode mediante el Fabric SDK. 2. El chaincode registra la huella y el evento registro en el ledger. 3. La red retorna un identificador de transacción (txID).</t>
  </si>
  <si>
    <t>RN-01: El chaincode nunca recibe ni almacena el archivo PDF, solo la huella y los metadatos del evento. RN-02: Toda transacción generada obtiene un txID único.</t>
  </si>
  <si>
    <t>CA-01: Dado que la huella fue enviada al chaincode, cuando se registra en el ledger, entonces el sistema recibe un txID válido.</t>
  </si>
  <si>
    <t>RF-017</t>
  </si>
  <si>
    <t>Corresponde a RNF-04, RNF-05 y RNF-20.</t>
  </si>
  <si>
    <t>Confirmación de registro</t>
  </si>
  <si>
    <t>Informa al empleado cuando el documento fue registrado correctamente y su huella criptográfica fue generada.</t>
  </si>
  <si>
    <t>Empleado</t>
  </si>
  <si>
    <t>Brinda retroalimentación clara al usuario sobre el resultado de la operación, conforme a RNF-17.</t>
  </si>
  <si>
    <t>El registro en blockchain fue exitoso (RF-016).</t>
  </si>
  <si>
    <t>El sistema recibe el txID de confirmación del ledger.</t>
  </si>
  <si>
    <t>1. El sistema recibe la confirmación del chaincode. 2. El sistema muestra al empleado un mensaje de éxito con el identificador del documento.</t>
  </si>
  <si>
    <t>RN-01: Si el registro en blockchain falla, el sistema no debe mostrar un mensaje de éxito.</t>
  </si>
  <si>
    <t>CA-01: Dado un registro exitoso, cuando concluye, entonces el empleado ve un mensaje de confirmación con el identificador del documento.</t>
  </si>
  <si>
    <t>RF-018</t>
  </si>
  <si>
    <t>Consulta de documentos</t>
  </si>
  <si>
    <t>Permite al empleado consultar los documentos que ha registrado en la plataforma.</t>
  </si>
  <si>
    <t>Da visibilidad al empleado sobre el estado de sus propios documentos, sin necesidad de mecanismos externos de seguimiento.</t>
  </si>
  <si>
    <t>El empleado está autenticado y tiene al menos un documento registrado.</t>
  </si>
  <si>
    <t>El empleado selecciona Mis documentos.</t>
  </si>
  <si>
    <t>1. El sistema consulta los documentos cuyo usuario responsable es el empleado autenticado. 2. El sistema muestra el listado (RF-019).</t>
  </si>
  <si>
    <t>RN-01: El empleado solo visualiza documentos que él mismo registró.</t>
  </si>
  <si>
    <t>CA-01: Dado un empleado con documentos registrados, cuando consulta su listado, entonces solo ve los documentos que él cargó.</t>
  </si>
  <si>
    <t>RF-019, RF-020</t>
  </si>
  <si>
    <t>RF-019</t>
  </si>
  <si>
    <t>Información del documento</t>
  </si>
  <si>
    <t>Muestra, como mínimo, el nombre del documento, identificador, fecha de registro y estado actual.</t>
  </si>
  <si>
    <t>Provee la información mínima necesaria para identificar y dar seguimiento a cada documento.</t>
  </si>
  <si>
    <t>El empleado consultó su listado de documentos (RF-018).</t>
  </si>
  <si>
    <t>El sistema muestra el listado de documentos.</t>
  </si>
  <si>
    <t>1. El sistema recupera los metadatos de cada documento. 2. El sistema los presenta en una tabla con nombre, identificador, fecha de registro y estado.</t>
  </si>
  <si>
    <t>RN-01: Los campos mínimos mostrados son nombre, identificador, fecha de registro y estado.</t>
  </si>
  <si>
    <t>CA-01: Dado un documento registrado, cuando se lista, entonces se muestran los cuatro campos mínimos definidos.</t>
  </si>
  <si>
    <t>RF-020</t>
  </si>
  <si>
    <t>Estado del documento</t>
  </si>
  <si>
    <t>Muestra para cada documento uno de los siguientes estados: Pendiente, Verificado o Alterado.</t>
  </si>
  <si>
    <t>Empleado / Verificador</t>
  </si>
  <si>
    <t>Da trazabilidad visual inmediata sobre el resultado de la verificación de integridad, sin requerir consultar directamente la blockchain.</t>
  </si>
  <si>
    <t>El sistema muestra la información del documento (RF-019).</t>
  </si>
  <si>
    <t>1. El sistema consulta el último resultado de verificación asociado al documento. 2. Si no existe verificación previa, el estado es Pendiente; si la última comparación coincidió, Verificado; si no coincidió, Alterado.</t>
  </si>
  <si>
    <t>RN-01: El estado solo puede tomar uno de los tres valores definidos. RN-02: El estado se actualiza automáticamente según RF-034.</t>
  </si>
  <si>
    <t>CA-01: Dado un documento sin verificaciones previas, cuando se consulta, entonces su estado es Pendiente.</t>
  </si>
  <si>
    <t>RF-013, RF-034</t>
  </si>
  <si>
    <t>RF-021</t>
  </si>
  <si>
    <t>Consulta de trazabilidad</t>
  </si>
  <si>
    <t>Permite al empleado consultar el historial de acciones asociadas a sus documentos.</t>
  </si>
  <si>
    <t>Da al empleado visibilidad sobre lo ocurrido con sus documentos, reforzando la confianza en el sistema (RNF-06, RNF-26).</t>
  </si>
  <si>
    <t>El empleado tiene al menos un documento registrado.</t>
  </si>
  <si>
    <t>El empleado selecciona Ver trazabilidad sobre un documento.</t>
  </si>
  <si>
    <t>1. El sistema consulta en el ledger de Hyperledger Fabric los eventos asociados al documento. 2. El sistema presenta el historial (RF-022).</t>
  </si>
  <si>
    <t>RN-01: El empleado solo puede consultar la trazabilidad de los documentos que él registró.</t>
  </si>
  <si>
    <t>CA-01: Dado un documento con eventos registrados, cuando el empleado consulta su trazabilidad, entonces ve el historial completo de acciones sobre ese documento.</t>
  </si>
  <si>
    <t>RF-022</t>
  </si>
  <si>
    <t>Información de trazabilidad</t>
  </si>
  <si>
    <t>Muestra en la trazabilidad el documento asociado, la acción realizada, el usuario responsable, el identificador de transacción (txID) generado en Hyperledger Fabric, y la fecha y hora del evento.</t>
  </si>
  <si>
    <t>El campo txID se agrega para alinear el requerimiento con RNF-27, que exige conservar el identificador de transacción como evidencia de auditoría.</t>
  </si>
  <si>
    <t>Propuesto</t>
  </si>
  <si>
    <t>El empleado consultó la trazabilidad de un documento (RF-021).</t>
  </si>
  <si>
    <t>El sistema recupera los eventos del ledger.</t>
  </si>
  <si>
    <t>1. El sistema recupera cada evento con sus atributos (documento, acción, usuario, txID, fecha y hora). 2. El sistema los presenta en orden cronológico.</t>
  </si>
  <si>
    <t>RN-01: El orden de los eventos siempre es cronológico y no puede alterarse desde la interfaz.</t>
  </si>
  <si>
    <t>CA-01: Dado un documento con tres eventos registrados, cuando se consulta su trazabilidad, entonces se listan los tres eventos en orden cronológico con los cinco campos definidos.</t>
  </si>
  <si>
    <t>Nota de cambio (v2): se agrega el campo txID respecto a la v1, para dar cobertura a RNF-27.</t>
  </si>
  <si>
    <t>RF-023</t>
  </si>
  <si>
    <t>Acceso al módulo de verificación</t>
  </si>
  <si>
    <t>Permite al usuario con rol Verificador acceder al módulo de verificación de integridad documental.</t>
  </si>
  <si>
    <t>Área Jurídica y de Cumplimiento (rol Verificador)</t>
  </si>
  <si>
    <t>Habilita la funcionalidad central del rol Verificador, definida en el alcance funcional del proyecto.</t>
  </si>
  <si>
    <t>El usuario está autenticado con rol Verificador.</t>
  </si>
  <si>
    <t>El verificador selecciona Verificar documento en su panel.</t>
  </si>
  <si>
    <t>1. El sistema valida que el usuario tenga rol Verificador. 2. El sistema muestra el módulo de verificación.</t>
  </si>
  <si>
    <t>RN-01: Solo el rol Verificador y el rol Administrador pueden acceder a este módulo (ver RF-027).</t>
  </si>
  <si>
    <t>CA-01: Dado un usuario con rol Verificador autenticado, cuando accede al módulo, entonces el sistema le muestra la opción de seleccionar un documento a verificar.</t>
  </si>
  <si>
    <t>RF-024</t>
  </si>
  <si>
    <t>Selección del documento registrado</t>
  </si>
  <si>
    <t>Permite al verificador seleccionar un documento previamente registrado en el sistema para realizar su verificación.</t>
  </si>
  <si>
    <t>Verificador</t>
  </si>
  <si>
    <t>Es el primer paso del flujo de verificación de integridad documental.</t>
  </si>
  <si>
    <t>El verificador accedió al módulo de verificación (RF-023).</t>
  </si>
  <si>
    <t>El verificador busca o selecciona un documento de la lista.</t>
  </si>
  <si>
    <t>1. El sistema muestra los documentos registrados disponibles. 2. El verificador selecciona el documento a validar o ingresa su identificador.</t>
  </si>
  <si>
    <t>RN-01: Solo pueden seleccionarse documentos previamente registrados en el sistema.</t>
  </si>
  <si>
    <t>CA-01: Dado un documento registrado, cuando el verificador lo selecciona, entonces el sistema continúa con la validación de existencia (RF-025).</t>
  </si>
  <si>
    <t>RF-025</t>
  </si>
  <si>
    <t>Validación de existencia</t>
  </si>
  <si>
    <t>Consulta mediante el identificador del documento si este se encuentra previamente registrado en el sistema.</t>
  </si>
  <si>
    <t>Evita iniciar un proceso de verificación sobre un documento inexistente.</t>
  </si>
  <si>
    <t>El verificador seleccionó o ingresó un identificador de documento (RF-024).</t>
  </si>
  <si>
    <t>El sistema recibe el identificador del documento.</t>
  </si>
  <si>
    <t>1. El sistema busca el identificador en la base de datos de metadatos. 2. Si existe, continúa con RF-026; si no, muestra un mensaje de error.</t>
  </si>
  <si>
    <t>RN-01: Un identificador inexistente no puede continuar el flujo de verificación.</t>
  </si>
  <si>
    <t>CA-01: Dado un identificador que no existe, cuando se consulta, entonces el sistema informa que el documento no está registrado.</t>
  </si>
  <si>
    <t>RF-026</t>
  </si>
  <si>
    <t>Consulta de huella registrada</t>
  </si>
  <si>
    <t>Muestra al verificador la huella criptográfica registrada para el documento seleccionado.</t>
  </si>
  <si>
    <t>Es la evidencia base contra la cual se comparará la huella del documento a verificar.</t>
  </si>
  <si>
    <t>El documento existe en el sistema (RF-025).</t>
  </si>
  <si>
    <t>El sistema confirma la existencia del documento.</t>
  </si>
  <si>
    <t>1. El sistema recupera la huella registrada desde el ledger o desde el registro de metadatos. 2. El sistema la muestra al verificador conforme a RF-027.</t>
  </si>
  <si>
    <t>RN-01: La huella mostrada corresponde a la registrada en el momento del registro inicial (RF-015), no a una recalculada.</t>
  </si>
  <si>
    <t>CA-01: Dado un documento existente, cuando se consulta su huella, entonces el sistema muestra el hash SHA-256 registrado.</t>
  </si>
  <si>
    <t>RF-027</t>
  </si>
  <si>
    <t>Restricción de visualización del hash</t>
  </si>
  <si>
    <t>La huella criptográfica completa es visible únicamente para los usuarios autorizados, de acuerdo con las reglas de acceso definidas para el rol Verificador y Administrador.</t>
  </si>
  <si>
    <t>Limita la exposición de información sensible conforme a RNF-08, evitando que roles no autorizados (Empleado) vean la huella completa fuera de su propio documento.</t>
  </si>
  <si>
    <t>La huella fue recuperada (RF-026).</t>
  </si>
  <si>
    <t>El sistema muestra el resultado de la consulta de huella.</t>
  </si>
  <si>
    <t>1. El sistema valida el rol del usuario autenticado. 2. Si es Verificador o Administrador, muestra la huella completa; en otro caso, la oculta o restringe.</t>
  </si>
  <si>
    <t>RN-01: Solo los roles Verificador y Administrador visualizan la huella completa de cualquier documento.</t>
  </si>
  <si>
    <t>CA-01: Dado un usuario con rol Empleado, cuando intenta ver la huella completa de un documento ajeno, entonces el sistema le deniega el acceso.</t>
  </si>
  <si>
    <t>RF-028</t>
  </si>
  <si>
    <t>Carga del documento a verificar</t>
  </si>
  <si>
    <t>Permite al verificador cargar el documento PDF que será comparado con la versión previamente registrada.</t>
  </si>
  <si>
    <t>Es el insumo necesario para generar la huella de comparación (RF-030).</t>
  </si>
  <si>
    <t>La huella registrada fue consultada (RF-026).</t>
  </si>
  <si>
    <t>El verificador selecciona Cargar documento a comparar.</t>
  </si>
  <si>
    <t>1. El sistema muestra el formulario de carga. 2. El verificador selecciona el archivo PDF. 3. El sistema ejecuta las validaciones de RF-029.</t>
  </si>
  <si>
    <t>RN-01: Solo se admite un archivo por operación de verificación (equivalente a RF-010).</t>
  </si>
  <si>
    <t>CA-01: Dado un archivo PDF cargado, cuando se envía, entonces el sistema inicia su validación.</t>
  </si>
  <si>
    <t>RF-029</t>
  </si>
  <si>
    <t>Validación del documento de comparación</t>
  </si>
  <si>
    <t>Verifica que el documento utilizado para la comparación cumpla con las restricciones de formato PDF y tamaño máximo de 20 MB.</t>
  </si>
  <si>
    <t>Aplica las mismas restricciones de RF-009 y RF-011 al documento de comparación, garantizando consistencia en el procesamiento.</t>
  </si>
  <si>
    <t>El verificador cargó un archivo (RF-028).</t>
  </si>
  <si>
    <t>El sistema recibe el archivo cargado.</t>
  </si>
  <si>
    <t>1. El sistema valida formato PDF. 2. El sistema valida tamaño ≤20 MB. 3. Si ambas validaciones pasan, continúa con RF-030.</t>
  </si>
  <si>
    <t>RN-01: Un archivo que no cumpla formato o tamaño detiene el proceso de verificación.</t>
  </si>
  <si>
    <t>CA-01: Dado un archivo de 30 MB, cuando se valida, entonces el sistema lo rechaza e informa el límite permitido.</t>
  </si>
  <si>
    <t>RF-030</t>
  </si>
  <si>
    <t>Generación de hash del documento de comparación</t>
  </si>
  <si>
    <t>Genera mediante SHA-256 la huella criptográfica del documento cargado para la verificación.</t>
  </si>
  <si>
    <t>Es el dato que se comparará contra la huella registrada (RF-031), aplicando el mismo algoritmo usado en el registro (RF-014).</t>
  </si>
  <si>
    <t>El documento de comparación fue validado (RF-029).</t>
  </si>
  <si>
    <t>1. El sistema procesa el contenido del archivo con SHA-256. 2. El sistema obtiene la huella del documento cargado.</t>
  </si>
  <si>
    <t>RN-01: La huella se calcula con el mismo algoritmo y parámetros utilizados en el registro original (RF-014).</t>
  </si>
  <si>
    <t>CA-01: Dado un documento de comparación válido, cuando se procesa, entonces el sistema obtiene su huella SHA-256.</t>
  </si>
  <si>
    <t>RF-031</t>
  </si>
  <si>
    <t>Comparación de huellas</t>
  </si>
  <si>
    <t>Permite al verificador ejecutar la comparación entre la huella criptográfica registrada y la huella generada a partir del documento cargado.</t>
  </si>
  <si>
    <t>Es la operación central de verificación de integridad documental del sistema.</t>
  </si>
  <si>
    <t>Se cuenta con la huella registrada (RF-026) y la huella del documento cargado (RF-030).</t>
  </si>
  <si>
    <t>El verificador selecciona Comparar.</t>
  </si>
  <si>
    <t>1. El sistema toma ambas huellas. 2. El sistema ejecuta la comparación byte a byte de los valores hash. 3. El sistema continúa con RF-032.</t>
  </si>
  <si>
    <t>RN-01: La comparación es exclusivamente entre los valores hash, nunca entre los contenidos de los archivos.</t>
  </si>
  <si>
    <t>CA-01: Dado dos huellas idénticas, cuando se comparan, entonces el resultado es coinciden. CA-02: Dado dos huellas distintas, cuando se comparan, entonces el resultado es no coinciden.</t>
  </si>
  <si>
    <t>RF-026, RF-030</t>
  </si>
  <si>
    <t>RF-032</t>
  </si>
  <si>
    <t>Determina automáticamente el resultado de la comparación y muestra si la integridad del documento es confirmada o comprometida.</t>
  </si>
  <si>
    <t>Traduce el resultado técnico de la comparación (RF-031) en un mensaje comprensible para el usuario, conforme a RNF-15.</t>
  </si>
  <si>
    <t>La comparación fue ejecutada (RF-031).</t>
  </si>
  <si>
    <t>El sistema concluye la comparación de huellas.</t>
  </si>
  <si>
    <t>1. El sistema evalúa el resultado de la comparación. 2. Si las huellas coinciden, muestra Integridad confirmada; si no coinciden, muestra Integridad comprometida.</t>
  </si>
  <si>
    <t>RN-01: El resultado solo puede ser confirmada o comprometida, sin estados intermedios.</t>
  </si>
  <si>
    <t>CA-01: Dado un resultado de comparación positivo, cuando se muestra, entonces el mensaje indica integridad confirmada.</t>
  </si>
  <si>
    <t>RF-033, RF-034</t>
  </si>
  <si>
    <t>RF-033</t>
  </si>
  <si>
    <t>Visualización de evidencia</t>
  </si>
  <si>
    <t>Muestra al verificador la huella criptográfica original y la huella criptográfica obtenida del documento actual como evidencia del resultado de la comparación.</t>
  </si>
  <si>
    <t>Refuerza el valor probatorio del resultado al exhibir ambas evidencias, en línea con RNF-17.</t>
  </si>
  <si>
    <t>El resultado de la verificación fue determinado (RF-032).</t>
  </si>
  <si>
    <t>El sistema muestra el resultado de la verificación.</t>
  </si>
  <si>
    <t>1. El sistema presenta lado a lado la huella original y la huella obtenida. 2. El verificador puede revisar ambos valores.</t>
  </si>
  <si>
    <t>RN-01: Ambas huellas se muestran completas cuando el usuario tiene el rol autorizado (RF-027).</t>
  </si>
  <si>
    <t>CA-01: Dado un resultado de verificación, cuando se visualiza, entonces se muestran ambas huellas comparadas.</t>
  </si>
  <si>
    <t>RF-034</t>
  </si>
  <si>
    <t>Actualización del estado</t>
  </si>
  <si>
    <t>Actualiza automáticamente el estado del documento a Verificado cuando las huellas coincidan o a Alterado cuando las huellas sean diferentes.</t>
  </si>
  <si>
    <t>Verificador / Empleado</t>
  </si>
  <si>
    <t>Mantiene consistente el estado visible del documento (RF-020) con el resultado real de la última verificación.</t>
  </si>
  <si>
    <t>El sistema concluye la evaluación del resultado.</t>
  </si>
  <si>
    <t>1. El sistema toma el resultado de la comparación. 2. El sistema actualiza el campo estado del documento en la base de datos.</t>
  </si>
  <si>
    <t>RN-01: El estado se actualiza automáticamente; no puede modificarse manualmente por ningún rol.</t>
  </si>
  <si>
    <t>CA-01: Dado un resultado no coinciden, cuando se procesa, entonces el estado del documento cambia a Alterado.</t>
  </si>
  <si>
    <t>RF-035</t>
  </si>
  <si>
    <t>Registro de la verificación</t>
  </si>
  <si>
    <t>Registra en la trazabilidad la acción de verificación, el usuario que la realizó, la fecha y hora, el identificador de transacción (txID) generado en Hyperledger Fabric, y el resultado obtenido.</t>
  </si>
  <si>
    <t>El campo txID se agrega por la misma razón indicada en RF-022, para dar soporte a RNF-27.</t>
  </si>
  <si>
    <t>El estado del documento fue actualizado (RF-034).</t>
  </si>
  <si>
    <t>El sistema concluye la actualización de estado.</t>
  </si>
  <si>
    <t>1. El sistema envía al chaincode el evento de verificación con su resultado. 2. El chaincode registra el evento en el ledger y retorna un txID.</t>
  </si>
  <si>
    <t>RN-01: Todo proceso de verificación genera un evento en el ledger, independientemente de su resultado.</t>
  </si>
  <si>
    <t>CA-01: Dado que una verificación concluyó, cuando se registra, entonces el ledger contiene el evento con su txID y resultado.</t>
  </si>
  <si>
    <t>RF-036</t>
  </si>
  <si>
    <t>Nota de cambio (v2): se agrega el campo txID respecto a la v1.</t>
  </si>
  <si>
    <t>Nueva verificación</t>
  </si>
  <si>
    <t>Proporciona una opción denominada Nueva verificación que permite iniciar un nuevo proceso de verificación.</t>
  </si>
  <si>
    <t>Facilita la operación repetida del módulo sin necesidad de reiniciar sesión, mejorando la usabilidad (RNF-15).</t>
  </si>
  <si>
    <t>Una verificación fue registrada (RF-035).</t>
  </si>
  <si>
    <t>El verificador selecciona Nueva verificación.</t>
  </si>
  <si>
    <t>1. El sistema limpia el formulario de verificación. 2. El sistema retorna al paso de selección de documento (RF-024).</t>
  </si>
  <si>
    <t>RN-01: No se conservan datos de la verificación anterior en el nuevo formulario.</t>
  </si>
  <si>
    <t>CA-01: Dado que el verificador selecciona Nueva verificación, cuando confirma, entonces el sistema muestra el formulario vacío de selección de documento.</t>
  </si>
  <si>
    <t>RF-037</t>
  </si>
  <si>
    <t>Consulta de documentos registrados</t>
  </si>
  <si>
    <t>Permite al verificador consultar los documentos registrados en el sistema.</t>
  </si>
  <si>
    <t>Da al verificador visibilidad general para ubicar documentos a validar y dar seguimiento a su estado.</t>
  </si>
  <si>
    <t>El verificador está autenticado.</t>
  </si>
  <si>
    <t>El verificador selecciona Documentos registrados.</t>
  </si>
  <si>
    <t>1. El sistema consulta el conjunto de documentos registrados. 2. El sistema los presenta según RF-038.</t>
  </si>
  <si>
    <t>RN-01: El verificador puede consultar documentos registrados por cualquier empleado, a diferencia del alcance restringido del rol Empleado (RF-018).</t>
  </si>
  <si>
    <t>CA-01: Dado que el verificador accede al listado, cuando lo consulta, entonces ve todos los documentos registrados en el sistema.</t>
  </si>
  <si>
    <t>RF-038</t>
  </si>
  <si>
    <t>Vista de documentos del verificador</t>
  </si>
  <si>
    <t>Muestra al verificador, como mínimo, el nombre del documento, identificador, usuario responsable, fecha de registro, estado y huella criptográfica, de acuerdo con sus permisos de acceso.</t>
  </si>
  <si>
    <t>Provee la información necesaria para ubicar y auditar cualquier documento registrado en el sistema.</t>
  </si>
  <si>
    <t>El verificador consultó el listado (RF-037).</t>
  </si>
  <si>
    <t>1. El sistema recupera los metadatos y la huella de cada documento. 2. El sistema los presenta en una tabla con los seis campos mínimos.</t>
  </si>
  <si>
    <t>RN-01: La huella se muestra completa solo si el usuario está autorizado (RF-027).</t>
  </si>
  <si>
    <t>CA-01: Dado un documento registrado, cuando se lista para el verificador, entonces se muestran los seis campos definidos.</t>
  </si>
  <si>
    <t>RF-037, RF-027</t>
  </si>
  <si>
    <t>RF-039</t>
  </si>
  <si>
    <t>Consulta de trazabilidad general</t>
  </si>
  <si>
    <t>Permite al verificador consultar el historial completo de acciones registradas sobre los documentos.</t>
  </si>
  <si>
    <t>Habilita la auditoría documental completa exigida por RNF-26.</t>
  </si>
  <si>
    <t>El verificador selecciona Trazabilidad general.</t>
  </si>
  <si>
    <t>1. El sistema consulta en el ledger todos los eventos registrados. 2. El sistema los presenta según RF-040.</t>
  </si>
  <si>
    <t>RN-01: A diferencia del empleado (RF-021), el verificador puede consultar la trazabilidad de cualquier documento del sistema.</t>
  </si>
  <si>
    <t>CA-01: Dado que el verificador accede a la trazabilidad general, cuando la consulta, entonces ve los eventos de todos los documentos registrados.</t>
  </si>
  <si>
    <t>RF-040</t>
  </si>
  <si>
    <t>Información de trazabilidad general</t>
  </si>
  <si>
    <t>La trazabilidad general presenta como mínimo los campos Documento, Acción, Usuario, Identificador de transacción (txID), Fecha y Resultado.</t>
  </si>
  <si>
    <t>Se agrega el campo txID; los demás campos se mantienen igual a la v1, conforme a RNF-27.</t>
  </si>
  <si>
    <t>El verificador consultó la trazabilidad general (RF-039).</t>
  </si>
  <si>
    <t>1. El sistema recupera cada evento con sus seis atributos. 2. El sistema los presenta en una tabla ordenada cronológicamente.</t>
  </si>
  <si>
    <t>RN-01: El orden cronológico de los eventos no puede alterarse desde la interfaz.</t>
  </si>
  <si>
    <t>CA-01: Dado el conjunto de eventos del ledger, cuando se listan, entonces se muestran los seis campos definidos para cada evento.</t>
  </si>
  <si>
    <t>RF-041</t>
  </si>
  <si>
    <t>Panel general</t>
  </si>
  <si>
    <t>Proporciona al Administrador un panel general con información consolidada sobre el estado de los documentos registrados.</t>
  </si>
  <si>
    <t>Área de TI / Administración de sistemas</t>
  </si>
  <si>
    <t>Da visibilidad ejecutiva sobre el uso y el estado del sistema, apoyando la supervisión operativa.</t>
  </si>
  <si>
    <t>El administrador está autenticado.</t>
  </si>
  <si>
    <t>El administrador inicia sesión.</t>
  </si>
  <si>
    <t>1. El sistema consulta las métricas consolidadas de documentos. 2. El sistema las muestra en el panel principal (RF-042).</t>
  </si>
  <si>
    <t>RN-01: El panel se actualiza con datos vigentes cada vez que se consulta.</t>
  </si>
  <si>
    <t>CA-01: Dado que el administrador inicia sesión, cuando accede al panel, entonces ve el resumen documental consolidado.</t>
  </si>
  <si>
    <t>RF-042</t>
  </si>
  <si>
    <t>Resumen documental</t>
  </si>
  <si>
    <t>El panel general muestra como mínimo el número total de documentos registrados, documentos verificados, documentos pendientes y documentos alterados.</t>
  </si>
  <si>
    <t>Permite dimensionar rápidamente el estado global de la gestión documental sin recorrer cada documento individualmente.</t>
  </si>
  <si>
    <t>El administrador accedió al panel general (RF-041).</t>
  </si>
  <si>
    <t>El sistema construye el panel.</t>
  </si>
  <si>
    <t>1. El sistema cuenta los documentos por cada estado (RF-020). 2. El sistema muestra los cuatro totales definidos.</t>
  </si>
  <si>
    <t>RN-01: Los totales deben corresponder exactamente a la suma de documentos en cada estado.</t>
  </si>
  <si>
    <t>CA-01: Dado un conjunto de documentos con distintos estados, cuando se calcula el resumen, entonces la suma de los totales por estado coincide con el total general.</t>
  </si>
  <si>
    <t>RF-041, RF-020</t>
  </si>
  <si>
    <t>RF-043</t>
  </si>
  <si>
    <t>Consulta de usuarios</t>
  </si>
  <si>
    <t>Permite al Administrador consultar los usuarios registrados en la plataforma.</t>
  </si>
  <si>
    <t>Es la base para la gestión del ciclo de vida de usuarios exigida por el esquema RBAC de RNF-03.</t>
  </si>
  <si>
    <t>El administrador selecciona Usuarios.</t>
  </si>
  <si>
    <t>1. El sistema consulta el listado de usuarios registrados. 2. El sistema lo presenta según RF-044.</t>
  </si>
  <si>
    <t>RN-01: Solo el rol Administrador puede acceder al listado completo de usuarios.</t>
  </si>
  <si>
    <t>CA-01: Dado que el administrador accede al módulo de usuarios, cuando lo consulta, entonces ve el listado completo de usuarios registrados.</t>
  </si>
  <si>
    <t>RF-044</t>
  </si>
  <si>
    <t>Amplía el detalle funcional textual del alcance del proyecto (2.6.1), que no menciona explícitamente la gestión de usuarios; se recomienda documentarlo en el capítulo de alcance final (ver hallazgo de verificación).</t>
  </si>
  <si>
    <t>Información de usuarios</t>
  </si>
  <si>
    <t>Muestra para cada usuario, como mínimo, su identificador, nombre, rol, correo electrónico y estado (Activo / Inactivo).</t>
  </si>
  <si>
    <t>Provee la información mínima para gestionar el ciclo de vida de cada usuario (creación, edición, desactivación).</t>
  </si>
  <si>
    <t>El administrador consultó el listado de usuarios (RF-043).</t>
  </si>
  <si>
    <t>El sistema muestra el listado de usuarios.</t>
  </si>
  <si>
    <t>1. El sistema recupera los atributos de cada usuario. 2. El sistema los presenta en una tabla con los cinco campos mínimos.</t>
  </si>
  <si>
    <t>RN-01: El estado de cada usuario solo puede ser Activo o Inactivo.</t>
  </si>
  <si>
    <t>CA-01: Dado un usuario registrado, cuando se lista, entonces se muestran los cinco campos definidos.</t>
  </si>
  <si>
    <t>RF-045</t>
  </si>
  <si>
    <t>Creación de usuarios</t>
  </si>
  <si>
    <t>Permite al Administrador registrar nuevos usuarios en la plataforma.</t>
  </si>
  <si>
    <t>Es necesaria para incorporar empleados y verificadores al sistema conforme a los tres roles definidos (RF-001).</t>
  </si>
  <si>
    <t>El administrador accedió al módulo de usuarios (RF-043).</t>
  </si>
  <si>
    <t>El administrador selecciona Crear usuario.</t>
  </si>
  <si>
    <t>1. El sistema muestra el formulario de creación (nombre, correo, rol). 2. El administrador diligencia los datos y confirma. 3. El sistema crea el usuario en estado Activo.</t>
  </si>
  <si>
    <t>RN-01: El rol asignado al usuario debe ser uno de los tres roles predefinidos del sistema (Empleado, Verificador, Administrador). RN-02: El correo electrónico no puede repetirse entre usuarios.</t>
  </si>
  <si>
    <t>CA-01: Dado un correo ya registrado, cuando se intenta crear el usuario, entonces el sistema muestra un aviso de duplicidad.</t>
  </si>
  <si>
    <t>RF-046, RF-047</t>
  </si>
  <si>
    <t>RF-046</t>
  </si>
  <si>
    <t>Edición de usuarios</t>
  </si>
  <si>
    <t>Permite al Administrador modificar el nombre, correo electrónico y rol de los usuarios registrados.</t>
  </si>
  <si>
    <t>Permite mantener actualizada la información de los usuarios ante cambios organizacionales (por ejemplo, cambio de rol o de correo corporativo).</t>
  </si>
  <si>
    <t>El usuario a editar existe en el sistema (RF-044).</t>
  </si>
  <si>
    <t>El administrador selecciona Editar sobre un usuario.</t>
  </si>
  <si>
    <t>1. El sistema muestra el formulario con los datos actuales. 2. El administrador modifica los campos permitidos. 3. El sistema guarda los cambios.</t>
  </si>
  <si>
    <t>RN-01: El rol modificado debe ser uno de los tres roles predefinidos del sistema (RN-01 de RF-045), para no contradecir el RBAC cerrado de RNF-03.</t>
  </si>
  <si>
    <t>CA-01: Dado un usuario existente, cuando el administrador modifica su rol, entonces el cambio se refleja en el siguiente inicio de sesión de ese usuario.</t>
  </si>
  <si>
    <t>RF-047</t>
  </si>
  <si>
    <t>Desactivación de usuarios</t>
  </si>
  <si>
    <t>Permite al Administrador desactivar el acceso de un usuario registrado (baja lógica), sin eliminar físicamente su información ni afectar la trazabilidad histórica asociada a sus acciones previas.</t>
  </si>
  <si>
    <t>Requerimiento nuevo (v2). Complementa RF-045/RF-046 y da cobertura completa al ciclo de vida de usuarios exigido por el esquema RBAC de RNF-03.</t>
  </si>
  <si>
    <t>El usuario a desactivar existe en el sistema (RF-044).</t>
  </si>
  <si>
    <t>El administrador selecciona Desactivar sobre un usuario.</t>
  </si>
  <si>
    <t>1. El sistema solicita confirmación. 2. El administrador confirma. 3. El sistema cambia el estado del usuario a Inactivo, conservando su historial.</t>
  </si>
  <si>
    <t>RN-01: Un usuario inactivo no puede autenticarse (RF-005). RN-02: La baja es lógica; no se elimina el registro ni los eventos de trazabilidad previos asociados al usuario.</t>
  </si>
  <si>
    <t>CA-01: Dado un usuario activo con documentos previamente registrados, cuando se desactiva, entonces conserva su historial de trazabilidad y ya no puede iniciar sesión.</t>
  </si>
  <si>
    <t>Nota de cambio (v2): requerimiento nuevo respecto a la v1.</t>
  </si>
  <si>
    <t>RF-048</t>
  </si>
  <si>
    <t>Consulta administrativa de documentos</t>
  </si>
  <si>
    <t>Permite al Administrador consultar los documentos registrados en el sistema.</t>
  </si>
  <si>
    <t>Da al administrador visibilidad completa para labores de supervisión y soporte del sistema.</t>
  </si>
  <si>
    <t>El administrador selecciona Documentos.</t>
  </si>
  <si>
    <t>1. El sistema consulta el conjunto completo de documentos registrados. 2. El sistema los presenta según RF-049.</t>
  </si>
  <si>
    <t>RN-01: El administrador puede consultar cualquier documento registrado en el sistema.</t>
  </si>
  <si>
    <t>CA-01: Dado que el administrador accede al listado, cuando lo consulta, entonces ve todos los documentos registrados.</t>
  </si>
  <si>
    <t>RF-049</t>
  </si>
  <si>
    <t>Vista administrativa de documentos</t>
  </si>
  <si>
    <t>Muestra al Administrador, como mínimo, el nombre del documento, identificador, usuario responsable, fecha de registro, estado y huella criptográfica, respetando las restricciones de privacidad definidas para la información.</t>
  </si>
  <si>
    <t>Equipara el nivel de información disponible para el administrador con el del verificador (RF-038), preservando las restricciones de privacidad de RNF-08.</t>
  </si>
  <si>
    <t>El administrador consultó el listado (RF-048).</t>
  </si>
  <si>
    <t>1. El sistema recupera los metadatos y la huella de cada documento. 2. El sistema los presenta con los seis campos mínimos.</t>
  </si>
  <si>
    <t>RN-01: No se muestra el contenido del documento, solo sus metadatos y huella (RNF-04).</t>
  </si>
  <si>
    <t>CA-01: Dado un documento registrado, cuando se lista para el administrador, entonces se muestran los seis campos definidos, sin exponer el contenido del archivo.</t>
  </si>
  <si>
    <t>RF-050</t>
  </si>
  <si>
    <t>Consulta de trazabilidad administrativa</t>
  </si>
  <si>
    <t>Permite al Administrador consultar el registro histórico de las acciones realizadas sobre los documentos.</t>
  </si>
  <si>
    <t>Habilita la auditoría completa del sistema desde una perspectiva administrativa, conforme a RNF-26.</t>
  </si>
  <si>
    <t>El administrador selecciona Trazabilidad.</t>
  </si>
  <si>
    <t>1. El sistema consulta en el ledger todos los eventos registrados. 2. El sistema los presenta según RF-051.</t>
  </si>
  <si>
    <t>RN-01: El administrador puede consultar la trazabilidad de cualquier documento del sistema.</t>
  </si>
  <si>
    <t>CA-01: Dado que el administrador accede a la trazabilidad, cuando la consulta, entonces ve los eventos de todos los documentos registrados.</t>
  </si>
  <si>
    <t>RF-051</t>
  </si>
  <si>
    <t>Registro administrativo de trazabilidad</t>
  </si>
  <si>
    <t>Presenta la trazabilidad mediante una tabla que contiene, como mínimo, el identificador del documento, acción realizada, usuario responsable, identificador de transacción (txID) generado en Hyperledger Fabric, fecha y hora, y resultado obtenido.</t>
  </si>
  <si>
    <t>Se agregan los campos txID y Resultado; este último iguala el nivel de información que ya recibía el rol Verificador en RF-040, evitando que el panel de Administrador mostrara menos datos que un rol de menor jerarquía.</t>
  </si>
  <si>
    <t>El administrador consultó la trazabilidad (RF-050).</t>
  </si>
  <si>
    <t>1. El sistema recupera cada evento con sus atributos. 2. El sistema los presenta en una tabla ordenada cronológicamente con los seis campos definidos.</t>
  </si>
  <si>
    <t>RN-01: El nivel de detalle mostrado al administrador debe ser igual o mayor al mostrado al verificador (RF-040).</t>
  </si>
  <si>
    <t>CA-01: Dado el conjunto de eventos del ledger, cuando se listan para el administrador, entonces se muestran los seis campos definidos, incluyendo txID y Resultado.</t>
  </si>
  <si>
    <t>Nota de cambio (v2): se agregan los campos txID y Resultado respecto a la v1.</t>
  </si>
  <si>
    <t>RF-052</t>
  </si>
  <si>
    <t>Cambio de contraseña</t>
  </si>
  <si>
    <t>Permite a los usuarios autenticados cambiar su contraseña.</t>
  </si>
  <si>
    <t>Todos los roles (Empleado, Verificador, Administrador)</t>
  </si>
  <si>
    <t>Es una práctica básica de higiene de seguridad que complementa la protección de contraseñas exigida en RNF-01.</t>
  </si>
  <si>
    <t>El usuario selecciona Cambiar contraseña.</t>
  </si>
  <si>
    <t>1. El sistema muestra el formulario de cambio de contraseña. 2. El usuario lo diligencia y confirma. 3. El sistema ejecuta las validaciones de RF-053.</t>
  </si>
  <si>
    <t>RN-01: La nueva contraseña debe cumplir los requisitos mínimos de complejidad definidos por el sistema.</t>
  </si>
  <si>
    <t>CA-01: Dado un usuario autenticado, cuando accede a la opción de cambio de contraseña, entonces el sistema muestra el formulario correspondiente.</t>
  </si>
  <si>
    <t>RF-053</t>
  </si>
  <si>
    <t>Validación de cambio de contraseña</t>
  </si>
  <si>
    <t>Solicita la contraseña actual y la nueva contraseña antes de realizar el cambio, validando que la operación sea realizada por el usuario autenticado.</t>
  </si>
  <si>
    <t>Todos los roles</t>
  </si>
  <si>
    <t>Evita que un tercero con sesión abierta cambie la contraseña sin conocer la contraseña vigente.</t>
  </si>
  <si>
    <t>El usuario accedió al formulario de cambio de contraseña (RF-052).</t>
  </si>
  <si>
    <t>El usuario envía el formulario con contraseña actual y nueva.</t>
  </si>
  <si>
    <t>1. El sistema valida que la contraseña actual ingresada coincida con la almacenada. 2. Si coincide, el sistema aplica el hash a la nueva contraseña y la almacena (RNF-01). 3. El sistema confirma el cambio.</t>
  </si>
  <si>
    <t>RN-01: Si la contraseña actual ingresada no coincide, el sistema rechaza el cambio.</t>
  </si>
  <si>
    <t>CA-01: Dado que la contraseña actual ingresada es incorrecta, cuando se envía el formulario, entonces el sistema rechaza el cambio e informa el error.</t>
  </si>
  <si>
    <t>No existe en el SRS un requerimiento de recuperación de contraseña olvidada (sin sesión activa); se recomienda evaluar si se incluye en el MVP o se documenta como limitación (ver hallazgo de verificación).</t>
  </si>
  <si>
    <t>Una fila por requisito. La característica de calidad se deriva de la subcaracterística elegida (ISO/IEC 25010:2023).</t>
  </si>
  <si>
    <t>La fila 7 es un ejemplo: sobrescríbela o bórrala antes de entregar. Sin métrica, unidad y umbral el requisito no es verificable.</t>
  </si>
  <si>
    <t>3. ESPECIFICACIÓN DE LA MEDIDA</t>
  </si>
  <si>
    <t>Característica ISO/IEC 25010:2023</t>
  </si>
  <si>
    <t>Subcaracterística ISO/IEC 25010:2023</t>
  </si>
  <si>
    <t>Métrica</t>
  </si>
  <si>
    <t>Unidad de medida</t>
  </si>
  <si>
    <t>Umbral de aceptación</t>
  </si>
  <si>
    <t>Condición de medición</t>
  </si>
  <si>
    <t>Método de verificación</t>
  </si>
  <si>
    <t>Requisitos funcionales afectados</t>
  </si>
  <si>
    <t>RNF-001</t>
  </si>
  <si>
    <t>Protección de contraseñas mediante hashing seguro</t>
  </si>
  <si>
    <t>Las contraseñas se almacenan utilizando un mecanismo de hashing seguro con sal, nunca en texto plano.</t>
  </si>
  <si>
    <t>Previene la exposición de credenciales ante un acceso no autorizado a la base de datos, conforme a buenas prácticas de seguridad de la información referenciadas en el Anexo A de ISO/IEC 27001:2022 [23].</t>
  </si>
  <si>
    <t>Confidencialidad</t>
  </si>
  <si>
    <t>Verificación binaria de que el campo de contraseña almacenado corresponde a un hash con sal (no a texto plano)</t>
  </si>
  <si>
    <t>Cumple / No cumple</t>
  </si>
  <si>
    <t>Cumple (100 % de las contraseñas almacenadas como hash con sal, mediante bcrypt)</t>
  </si>
  <si>
    <t>Inspección de la base de datos de usuarios en el entorno de pruebas Docker</t>
  </si>
  <si>
    <t>Inspección</t>
  </si>
  <si>
    <t>RF-002, RF-045, RF-052, RF-053</t>
  </si>
  <si>
    <t>BCRYPT incorpora automáticamente sal y múltiples iteraciones, según se define en el glosario del proyecto.</t>
  </si>
  <si>
    <t>RNF-002</t>
  </si>
  <si>
    <t>Autenticación de doble factor</t>
  </si>
  <si>
    <t>El sistema implementa autenticación mediante credenciales y un segundo factor de verificación mediante token.</t>
  </si>
  <si>
    <t>Se mantiene sin cambios respecto a la v1, sujeta a la misma validación pendiente indicada en RF-003 sobre el canal exclusivo de token por correo, y se alinea con el Decreto 2364 de 2012, que reconoce la validez de mecanismos tecnológicos de autenticación como la firma electrónica [36].</t>
  </si>
  <si>
    <t>Autenticidad</t>
  </si>
  <si>
    <t>Verificación de que el acceso requiere credenciales válidas y un token de segundo factor vigente</t>
  </si>
  <si>
    <t>Cumple (100 % de los inicios de sesión exigen ambos factores)</t>
  </si>
  <si>
    <t>Prueba funcional del flujo de autenticación (RF-002 a RF-005) en el entorno Docker de pruebas</t>
  </si>
  <si>
    <t>Prueba</t>
  </si>
  <si>
    <t>RF-002, RF-003, RF-004, RF-005</t>
  </si>
  <si>
    <t>Pendiente de validar con el tutor si el canal exclusivo de correo corporativo es suficiente o si se debe evaluar un canal alterno.</t>
  </si>
  <si>
    <t>RNF-003</t>
  </si>
  <si>
    <t>Control de acceso basado en roles (RBAC)</t>
  </si>
  <si>
    <t>El sistema aplica un esquema de control de acceso basado en roles, garantizando que cada usuario únicamente pueda acceder a las funcionalidades y datos autorizados para su rol.</t>
  </si>
  <si>
    <t>Es un control fundamental de acceso lógico alineado con el Anexo A de ISO/IEC 27001:2022, tomado como referencia de diseño en el proyecto [23].</t>
  </si>
  <si>
    <t>Porcentaje de intentos de acceso a funcionalidades no autorizadas para el rol que son bloqueados</t>
  </si>
  <si>
    <t>Porcentaje (%)</t>
  </si>
  <si>
    <t>100 % de los intentos no autorizados bloqueados</t>
  </si>
  <si>
    <t>Suite de pruebas funcionales de caja negra ejecutando los tres roles sobre los cinco módulos del sistema</t>
  </si>
  <si>
    <t>RNF-004</t>
  </si>
  <si>
    <t>No almacenamiento del contenido documental en blockchain</t>
  </si>
  <si>
    <t>El sistema no almacena el contenido de los contratos laborales ni acuerdos de confidencialidad directamente en la red blockchain. La blockchain almacena únicamente las huellas criptográficas y los eventos necesarios para la trazabilidad.</t>
  </si>
  <si>
    <t>Corresponde directamente al modelo de persistencia definido en el proyecto y responde a las exigencias de minimización de datos de la Ley 1581 de 2012 [9].</t>
  </si>
  <si>
    <t>Verificación de que ningún registro del ledger contiene el contenido binario o textual del documento</t>
  </si>
  <si>
    <t>Cumple (0 documentos con contenido almacenado en el ledger)</t>
  </si>
  <si>
    <t>Inspección del ledger de Hyperledger Fabric tras el registro de los 20 documentos sintéticos de prueba</t>
  </si>
  <si>
    <t>RF-013, RF-016</t>
  </si>
  <si>
    <t>RNF-005</t>
  </si>
  <si>
    <t>Inmutabilidad de las huellas registradas</t>
  </si>
  <si>
    <t>Las huellas criptográficas registradas en la blockchain se conservan de manera inmutable, de forma que no puedan ser modificadas mediante las operaciones normales del sistema.</t>
  </si>
  <si>
    <t>Es la propiedad central de la infraestructura blockchain permisionada, base de la validez probatoria exigida por la Ley 527 de 1999 [10]. La reciente jurisprudencia de la Corte Suprema de Justicia (Sentencia SP248-2025) confirma que la ausencia de un hash no invalida la evidencia digital, pero sí afecta su fuerza probatoria, lo que refuerza la importancia de este control [7].</t>
  </si>
  <si>
    <t>Integridad</t>
  </si>
  <si>
    <t>Porcentaje de intentos de modificación de una huella ya registrada que son rechazados por el sistema</t>
  </si>
  <si>
    <t>100 % de los intentos de modificación rechazados</t>
  </si>
  <si>
    <t>Pruebas de mutación documental sobre los 20 documentos sintéticos, intentando alterar registros ya confirmados en el ledger</t>
  </si>
  <si>
    <t>RF-016, RF-026</t>
  </si>
  <si>
    <t>RNF-006</t>
  </si>
  <si>
    <t>Registro de operaciones relevantes</t>
  </si>
  <si>
    <t>El sistema registra las operaciones relevantes realizadas sobre los documentos, incluyendo usuario, acción, fecha, hora y resultado cuando corresponda.</t>
  </si>
  <si>
    <t>Sustenta la trazabilidad documental exigida por el alcance del proyecto y por RNF-26.</t>
  </si>
  <si>
    <t>Rendición de cuentas</t>
  </si>
  <si>
    <t>Porcentaje de operaciones sobre documentos (registro, verificación) que generan un evento de trazabilidad</t>
  </si>
  <si>
    <t>100 % de las operaciones generan evento de trazabilidad</t>
  </si>
  <si>
    <t>Prueba de trazabilidad e inmutabilidad, comparando las acciones ejecutadas contra el historial recuperado del ledger</t>
  </si>
  <si>
    <t>RF-016, RF-035</t>
  </si>
  <si>
    <t>RNF-007</t>
  </si>
  <si>
    <t>Gestión segura de sesiones</t>
  </si>
  <si>
    <t>El sistema gestiona las sesiones de usuario de manera segura e impide el acceso a funcionalidades protegidas una vez finalizada la sesión.</t>
  </si>
  <si>
    <t>Complementa el control de acceso (RNF-03) evitando el uso de sesiones expiradas o cerradas para acceder a información sensible.</t>
  </si>
  <si>
    <t>Verificación de que una sesión cerrada o expirada no permite acceder a funcionalidades protegidas</t>
  </si>
  <si>
    <t>Cumple (0 accesos exitosos con sesión cerrada o expirada)</t>
  </si>
  <si>
    <t>Prueba funcional de caja negra sobre RF-007, cerrando sesión e intentando acceder a rutas protegidas</t>
  </si>
  <si>
    <t>RNF-008</t>
  </si>
  <si>
    <t>Limitación de exposición de información documental</t>
  </si>
  <si>
    <t>El sistema limita la exposición de información documental y de las huellas criptográficas de acuerdo con los permisos establecidos para cada rol.</t>
  </si>
  <si>
    <t>Da cumplimiento a los principios de finalidad y minimización de la Ley 1581 de 2012 [9] y a los lineamientos de la Circular Externa 005 de 2017 de la Superintendencia de Industria y Comercio [8], además del control A.8.24 del Anexo A de ISO/IEC 27001:2022 [23].</t>
  </si>
  <si>
    <t>Porcentaje de campos restringidos (huella completa, datos de otros usuarios) que no son visibles para roles no autorizados</t>
  </si>
  <si>
    <t>100 % de los campos restringidos ocultos para roles no autorizados</t>
  </si>
  <si>
    <t>Prueba funcional de caja negra sobre RF-018, RF-027 y RF-038 con los tres roles</t>
  </si>
  <si>
    <t>RF-018, RF-027, RF-038, RF-049</t>
  </si>
  <si>
    <t>RNF-009</t>
  </si>
  <si>
    <t>Tiempo de respuesta de las operaciones principales</t>
  </si>
  <si>
    <t>El sistema responde a las operaciones principales de consulta y verificación en un tiempo adecuado para garantizar una interacción fluida con el usuario.</t>
  </si>
  <si>
    <t>Sustenta la usabilidad general del sistema (RNF-15) y se detalla de forma cuantitativa en RNF-10 para la operación crítica de verificación.</t>
  </si>
  <si>
    <t>Comportamiento temporal</t>
  </si>
  <si>
    <t>Tiempo de respuesta percibido en las operaciones de consulta de documentos y trazabilidad</t>
  </si>
  <si>
    <t>Milisegundos (ms)</t>
  </si>
  <si>
    <t>Menor o igual a 3.000 ms</t>
  </si>
  <si>
    <t>50 peticiones consecutivas sobre el entorno Docker local de pruebas</t>
  </si>
  <si>
    <t>RF-018, RF-021, RF-037, RF-039</t>
  </si>
  <si>
    <t>Se alinea con el mismo umbral definido para RNF-10, tomado del KPI del proyecto (Tabla 1).</t>
  </si>
  <si>
    <t>RNF-010</t>
  </si>
  <si>
    <t>Latencia de la verificación de integridad</t>
  </si>
  <si>
    <t>La operación de verificación de integridad cumple como meta un percentil 95 de latencia igual o inferior a 3.000 ms en 50 peticiones consecutivas, de acuerdo con el KPI definido en el proyecto.</t>
  </si>
  <si>
    <t>KPI OE3 del proyecto (Tabla 1)</t>
  </si>
  <si>
    <t>Corresponde directamente al KPI Percentil 95 (P95) de latencia del endpoint de verificación definido para el objetivo específico de desarrollo del MVP.</t>
  </si>
  <si>
    <t>Percentil 95 (P95) de la latencia del endpoint de verificación (RF-031)</t>
  </si>
  <si>
    <t>P95 ≤ 3.000 ms</t>
  </si>
  <si>
    <t>50 peticiones consecutivas sobre el endpoint de verificación en el entorno Docker local</t>
  </si>
  <si>
    <t>RF-028 a RF-034</t>
  </si>
  <si>
    <t>RNF-011</t>
  </si>
  <si>
    <t>Automatización del cálculo de huellas</t>
  </si>
  <si>
    <t>La generación y comparación de las huellas SHA-256 se realiza de manera automática sin requerir intervención manual del usuario.</t>
  </si>
  <si>
    <t>Reduce el riesgo de error humano en el cálculo de la evidencia de integridad, reforzando la propiedad de efecto avalancha de SHA-256 [34].</t>
  </si>
  <si>
    <t>Verificación de que el usuario no ejecuta ningún paso manual durante el cálculo o la comparación de huellas</t>
  </si>
  <si>
    <t>Cumple (0 pasos manuales requeridos en el cálculo de huellas)</t>
  </si>
  <si>
    <t>Revisión del flujo de RF-014 y RF-030 en el entorno de pruebas</t>
  </si>
  <si>
    <t>RF-014, RF-030</t>
  </si>
  <si>
    <t>RNF-012</t>
  </si>
  <si>
    <t>Disponibilidad durante el periodo de pruebas</t>
  </si>
  <si>
    <t>El sistema permanece disponible durante el periodo definido para las pruebas y validación del MVP.</t>
  </si>
  <si>
    <t>Alcance del proyecto (despliegue en Microsoft Azure)</t>
  </si>
  <si>
    <t>El despliegue en Azure se realiza durante un periodo de prueba de un mes; su disponibilidad es necesaria para ejecutar el plan de pruebas de software (PPS).</t>
  </si>
  <si>
    <t>Disponibilidad</t>
  </si>
  <si>
    <t>Porcentaje de tiempo en que el sistema responde correctamente durante el periodo de validación</t>
  </si>
  <si>
    <t>Mayor o igual a 95 % durante el mes de pruebas</t>
  </si>
  <si>
    <t>Monitoreo del entorno desplegado en la máquina virtual de Azure durante la fase 4 del proyecto</t>
  </si>
  <si>
    <t>Todos los módulos funcionales</t>
  </si>
  <si>
    <t>No aplica para un entorno productivo; corresponde exclusivamente a la validación del MVP.</t>
  </si>
  <si>
    <t>RNF-013</t>
  </si>
  <si>
    <t>Consistencia entre MongoDB y Hyperledger Fabric</t>
  </si>
  <si>
    <t>La información registrada en la base de datos no relacional (MongoDB) y la evidencia almacenada en la red blockchain permisionada (Hyperledger Fabric) mantienen correspondencia respecto a los documentos, identificadores y eventos registrados.</t>
  </si>
  <si>
    <t>Se reemplaza el término genérico base de datos por base de datos no relacional (MongoDB) y se nombra explícitamente Hyperledger Fabric, para anclar el requerimiento al marco tecnológico definido en el proyecto.</t>
  </si>
  <si>
    <t>Corrección funcional</t>
  </si>
  <si>
    <t>Porcentaje de documentos cuyo identificador y huella coinciden entre MongoDB y el ledger de Hyperledger Fabric</t>
  </si>
  <si>
    <t>100 % de correspondencia</t>
  </si>
  <si>
    <t>Comparación cruzada de los 20 documentos sintéticos entre la base de datos y el ledger, al cierre de las pruebas de integridad</t>
  </si>
  <si>
    <t>RF-013, RF-015, RF-016</t>
  </si>
  <si>
    <t>Nota de cambio (v2) respecto a la v1.</t>
  </si>
  <si>
    <t>RNF-014</t>
  </si>
  <si>
    <t>Detección de alteraciones documentales</t>
  </si>
  <si>
    <t>El sistema detecta las alteraciones realizadas sobre los documentos utilizados durante las pruebas de integridad. Como meta del proyecto, debe detectar el 100 % de las alteraciones realizadas sobre los 20 documentos definidos para la validación.</t>
  </si>
  <si>
    <t>KPI OE4 del proyecto (Tabla 1)</t>
  </si>
  <si>
    <t>Corresponde directamente al KPI Tasa de detección de alteraciones documentales y se respalda en los resultados reportados por Mier Bello et al., quienes lograron una tasa de detección del 100 % en un sistema análogo basado en blockchain [30].</t>
  </si>
  <si>
    <t>Tasa de detección de alteraciones sobre el conjunto de documentos sintéticos alterados</t>
  </si>
  <si>
    <t>100 % de los 20 documentos alterados detectados como no íntegros</t>
  </si>
  <si>
    <t>Pruebas de mutación documental (cambios en texto, firmas y metadatos) sobre los 20 documentos sintéticos definidos en el plan de pruebas</t>
  </si>
  <si>
    <t>RF-031, RF-032, RF-034</t>
  </si>
  <si>
    <t>RNF-015</t>
  </si>
  <si>
    <t>Usabilidad sin conocimientos especializados</t>
  </si>
  <si>
    <t>La interfaz permite que los usuarios ejecuten las operaciones correspondientes a su rol de manera clara e intuitiva, sin requerir conocimientos especializados sobre blockchain o criptografía.</t>
  </si>
  <si>
    <t>Empleado / Verificador / Administrador</t>
  </si>
  <si>
    <t>El sistema está dirigido a personal administrativo y jurídico sin formación técnica en blockchain, por lo que la interfaz debe abstraer la complejidad subyacente.</t>
  </si>
  <si>
    <t>Operabilidad</t>
  </si>
  <si>
    <t>Porcentaje de tareas principales (carga, verificación, consulta) completadas sin asistencia por usuarios de prueba</t>
  </si>
  <si>
    <t>Mayor o igual a 90 % de tareas completadas sin asistencia</t>
  </si>
  <si>
    <t>Prueba de usabilidad con usuarios representativos de cada rol sobre el prototipo de alta fidelidad</t>
  </si>
  <si>
    <t>Demostración</t>
  </si>
  <si>
    <t>RF-008, RF-024, RF-031</t>
  </si>
  <si>
    <t>RNF-016</t>
  </si>
  <si>
    <t>Consistencia visual y de navegación</t>
  </si>
  <si>
    <t>El sistema mantiene una estructura visual y de navegación consistente entre los diferentes módulos.</t>
  </si>
  <si>
    <t>Equipo de diseño UX/UI</t>
  </si>
  <si>
    <t>Reduce la curva de aprendizaje entre módulos y refuerza la usabilidad general del sistema (RNF-15).</t>
  </si>
  <si>
    <t>Reconocibilidad de la adecuación</t>
  </si>
  <si>
    <t>Podría (Could)</t>
  </si>
  <si>
    <t>Baja</t>
  </si>
  <si>
    <t>Verificación de que los componentes de navegación y estilo se reutilizan entre los módulos de Empleado, Verificador y Administrador</t>
  </si>
  <si>
    <t>Cumple (mismo sistema de diseño aplicado en los tres paneles)</t>
  </si>
  <si>
    <t>Revisión de los prototipos de Figma frente a la interfaz implementada</t>
  </si>
  <si>
    <t>RNF-017</t>
  </si>
  <si>
    <t>Retroalimentación sobre el resultado de las operaciones</t>
  </si>
  <si>
    <t>El sistema informa claramente al usuario sobre el resultado de las operaciones realizadas, incluyendo cargas exitosas, errores de validación, resultados de verificación y cambios de estado.</t>
  </si>
  <si>
    <t>Es necesaria para que el usuario confíe en el resultado de operaciones críticas como la verificación de integridad (RF-032).</t>
  </si>
  <si>
    <t>Porcentaje de operaciones principales que muestran un mensaje de resultado al usuario</t>
  </si>
  <si>
    <t>100 % de las operaciones principales muestran retroalimentación</t>
  </si>
  <si>
    <t>Prueba funcional de caja negra sobre los cinco módulos del sistema</t>
  </si>
  <si>
    <t>RF-017, RF-032, RF-033</t>
  </si>
  <si>
    <t>RNF-018</t>
  </si>
  <si>
    <t>Claridad de los mensajes de error</t>
  </si>
  <si>
    <t>Los mensajes de error son claros e indican al usuario la causa del problema y, cuando sea posible, la acción requerida para solucionarlo.</t>
  </si>
  <si>
    <t>Complementa RNF-17 evitando que el usuario deba interpretar códigos de error técnicos.</t>
  </si>
  <si>
    <t>Protección frente a errores de usuario</t>
  </si>
  <si>
    <t>Porcentaje de mensajes de error que incluyen causa y acción sugerida</t>
  </si>
  <si>
    <t>100 % de los mensajes de error revisados cumplen el formato definido</t>
  </si>
  <si>
    <t>Revisión de catálogo de mensajes de error frente a los casos de prueba de validación (RF-009, RF-011, RF-025)</t>
  </si>
  <si>
    <t>RF-009, RF-011, RF-025</t>
  </si>
  <si>
    <t>RNF-019</t>
  </si>
  <si>
    <t>Separación de responsabilidades por capas</t>
  </si>
  <si>
    <t>El sistema implementa una arquitectura modular que permite separar las responsabilidades de presentación, lógica de aplicación, integración con blockchain y persistencia.</t>
  </si>
  <si>
    <t>Equipo de arquitectura del proyecto</t>
  </si>
  <si>
    <t>Corresponde al diseño de capas (Presentación, Aplicación, Blockchain, Persistencia) definido en la fase de diseño de arquitectura del proyecto.</t>
  </si>
  <si>
    <t>Modularidad</t>
  </si>
  <si>
    <t>Verificación de que cada capa se implementa en un componente independiente y documentado en el diagrama de arquitectura</t>
  </si>
  <si>
    <t>Cumple (4 de 4 capas separadas y documentadas)</t>
  </si>
  <si>
    <t>Revisión de los diagramas UML de componentes frente a la implementación</t>
  </si>
  <si>
    <t>RNF-020</t>
  </si>
  <si>
    <t>Integración indirecta con Hyperledger Fabric</t>
  </si>
  <si>
    <t>La comunicación entre el sistema web y Hyperledger Fabric se realiza mediante el backend, evitando que el frontend interactúe directamente con la infraestructura blockchain.</t>
  </si>
  <si>
    <t>Esta separación está contemplada en la arquitectura propuesta en el documento y sigue el patrón de uso del Fabric SDK descrito por la documentación oficial de Hyperledger Fabric [19].</t>
  </si>
  <si>
    <t>Verificación de que ninguna llamada del frontend se dirige directamente a los nodos de la red blockchain</t>
  </si>
  <si>
    <t>Cumple (0 llamadas directas del frontend a la red Hyperledger Fabric)</t>
  </si>
  <si>
    <t>Inspección del código fuente y de las trazas de red del frontend durante las pruebas funcionales</t>
  </si>
  <si>
    <t>RF-016, RF-026, RF-031</t>
  </si>
  <si>
    <t>RNF-021</t>
  </si>
  <si>
    <t>Despliegue mediante contenedores Docker</t>
  </si>
  <si>
    <t>Los componentes de la solución pueden ejecutarse mediante contenedores Docker y Docker Compose, de acuerdo con la arquitectura de despliegue definida para el MVP.</t>
  </si>
  <si>
    <t>Es el mecanismo de contención y orquestación definido en el alcance técnico del proyecto para el entorno de prueba de un mes en Azure.</t>
  </si>
  <si>
    <t>Capacidad de instalación</t>
  </si>
  <si>
    <t>Porcentaje de componentes del sistema (frontend, backend, chaincode, red Hyperledger Fabric, MongoDB) desplegados como contenedores Docker</t>
  </si>
  <si>
    <t>100 % de los componentes contenerizados</t>
  </si>
  <si>
    <t>Revisión del archivo docker-compose.yml y verificación de arranque completo del entorno</t>
  </si>
  <si>
    <t>RNF-022</t>
  </si>
  <si>
    <t>Extensibilidad de la arquitectura</t>
  </si>
  <si>
    <t>La arquitectura permite la incorporación futura de nuevos módulos o funcionalidades sin requerir una modificación completa de los componentes existentes.</t>
  </si>
  <si>
    <t>Da continuidad al proyecto más allá del MVP, permitiendo evoluciones futuras sin rediseño total del sistema, dentro de las limitaciones declaradas (no se evalúa escalabilidad de producción).</t>
  </si>
  <si>
    <t>Modificabilidad</t>
  </si>
  <si>
    <t>Verificación cualitativa, mediante revisión arquitectónica, de que un nuevo módulo puede incorporarse sin modificar los módulos existentes</t>
  </si>
  <si>
    <t>Cumple (revisión arquitectónica sin observaciones críticas)</t>
  </si>
  <si>
    <t>Revisión de arquitectura con el director del proyecto (hito de Fase 2)</t>
  </si>
  <si>
    <t>Análisis</t>
  </si>
  <si>
    <t>Ninguno directamente</t>
  </si>
  <si>
    <t>RNF-023</t>
  </si>
  <si>
    <t>Compatibilidad exclusiva con PDF</t>
  </si>
  <si>
    <t>El sistema es compatible exclusivamente con documentos en formato PDF dentro del alcance definido para el MVP.</t>
  </si>
  <si>
    <t>Alcance y limitaciones del proyecto</t>
  </si>
  <si>
    <t>Corresponde a la limitación funcional del proyecto, que excluye otros formatos como DOCX, XML o imágenes.</t>
  </si>
  <si>
    <t>Interoperabilidad</t>
  </si>
  <si>
    <t>Porcentaje de formatos distintos a PDF rechazados por el sistema</t>
  </si>
  <si>
    <t>100 % de los formatos no PDF rechazados</t>
  </si>
  <si>
    <t>Prueba funcional de carga con archivos en formatos DOCX, XML e imágenes</t>
  </si>
  <si>
    <t>RF-009, RF-029</t>
  </si>
  <si>
    <t>RNF-024</t>
  </si>
  <si>
    <t>Límite de tamaño de archivo</t>
  </si>
  <si>
    <t>El sistema soporta documentos de hasta 20 MB por archivo.</t>
  </si>
  <si>
    <t>Decisión técnica del equipo de desarrollo</t>
  </si>
  <si>
    <t>Es un umbral de diseño definido por el equipo para preservar el rendimiento de las operaciones de hashing (RNF-09, RNF-11), sin corresponder a una norma externa.</t>
  </si>
  <si>
    <t>Capacidad</t>
  </si>
  <si>
    <t>Tamaño máximo de archivo aceptado por el sistema</t>
  </si>
  <si>
    <t>Megabytes (MB)</t>
  </si>
  <si>
    <t>Máximo 20 MB por archivo</t>
  </si>
  <si>
    <t>Prueba funcional de carga con archivos de 19 MB, 20 MB y 21 MB</t>
  </si>
  <si>
    <t>RF-011, RF-029</t>
  </si>
  <si>
    <t>RNF-025</t>
  </si>
  <si>
    <t>Accesibilidad mediante navegadores modernos</t>
  </si>
  <si>
    <t>El sistema es accesible mediante navegadores web modernos que soporten las tecnologías utilizadas para el desarrollo de la aplicación.</t>
  </si>
  <si>
    <t>Garantiza el acceso al sistema desde los navegadores estándar disponibles en los equipos de cómputo de la organización.</t>
  </si>
  <si>
    <t>Adaptabilidad</t>
  </si>
  <si>
    <t>Número de navegadores modernos (últimas dos versiones estables) en los que el sistema opera sin errores funcionales</t>
  </si>
  <si>
    <t>Navegadores compatibles</t>
  </si>
  <si>
    <t>Mínimo 2 navegadores modernos verificados (por ejemplo, Chrome y Edge)</t>
  </si>
  <si>
    <t>Prueba funcional manual sobre los navegadores seleccionados en el entorno de pruebas</t>
  </si>
  <si>
    <t>RNF-026</t>
  </si>
  <si>
    <t>Reconstrucción cronológica de acciones</t>
  </si>
  <si>
    <t>El sistema permite reconstruir cronológicamente las acciones realizadas sobre cada documento mediante los registros de trazabilidad.</t>
  </si>
  <si>
    <t>Área Jurídica y de Cumplimiento</t>
  </si>
  <si>
    <t>Sustenta el valor probatorio de la trazabilidad documental, en línea con la Ley 527 de 1999 [10] y la ISO 15489-1:2016 sobre gestión de registros [22].</t>
  </si>
  <si>
    <t>Porcentaje de documentos cuyo historial de eventos puede reconstruirse en orden cronológico completo</t>
  </si>
  <si>
    <t>100 % de los 20 documentos con historial reconstruible</t>
  </si>
  <si>
    <t>Prueba de trazabilidad e inmutabilidad sobre el conjunto de documentos sintéticos</t>
  </si>
  <si>
    <t>RF-021, RF-022, RF-039, RF-040, RF-050, RF-051</t>
  </si>
  <si>
    <t>RNF-027</t>
  </si>
  <si>
    <t>Conservación del orden y del identificador de transacción</t>
  </si>
  <si>
    <t>Los eventos registrados en la red blockchain conservan su orden cronológico e identificador de transacción para facilitar su auditoría y consulta.</t>
  </si>
  <si>
    <t>Es la propiedad que exige agregar el campo txID en RF-022, RF-035, RF-040 y RF-051, conforme a las notas de cambio de la versión 2 del SRS.</t>
  </si>
  <si>
    <t>No repudio</t>
  </si>
  <si>
    <t>Porcentaje de eventos del ledger que conservan un txID único y un orden cronológico verificable</t>
  </si>
  <si>
    <t>100 % de los eventos con txID único y orden cronológico correcto</t>
  </si>
  <si>
    <t>Prueba de trazabilidad e inmutabilidad, comparando el orden de ejecución contra el orden recuperado del ledger</t>
  </si>
  <si>
    <t>RF-016, RF-022, RF-035, RF-040, RF-051</t>
  </si>
  <si>
    <t>RNF-028</t>
  </si>
  <si>
    <t>Porcentaje de aprobación de la suite de pruebas</t>
  </si>
  <si>
    <t>El sistema alcanza como mínimo un 90 % de casos de prueba funcionales aprobados (PASS) en la suite final de pruebas definida para el MVP.</t>
  </si>
  <si>
    <t>Corresponde directamente al KPI Porcentaje de casos de prueba funcionales con resultado PASS definido para el objetivo específico de evaluación del MVP.</t>
  </si>
  <si>
    <t>Porcentaje de casos de prueba con resultado PASS sobre el total de la suite final</t>
  </si>
  <si>
    <t>Mayor o igual a 90 % (aproximadamente 45 de 50 casos)</t>
  </si>
  <si>
    <t>Ejecución de la suite final de pruebas funcionales (5 módulos × 10 casos)</t>
  </si>
  <si>
    <t>RNF-029</t>
  </si>
  <si>
    <t>Condiciones controladas de evaluación</t>
  </si>
  <si>
    <t>El rendimiento y confiabilidad del sistema se evalúan bajo las condiciones controladas establecidas para el MVP, utilizando los documentos sintéticos definidos en el plan de pruebas.</t>
  </si>
  <si>
    <t>El proyecto no contempla pruebas de carga a escala empresarial ni escenarios de uso concurrente masivo, conforme a las limitaciones declaradas.</t>
  </si>
  <si>
    <t>Capacidad de prueba</t>
  </si>
  <si>
    <t>Verificación de que las pruebas de rendimiento y confiabilidad se ejecutan sobre el conjunto de 20 documentos sintéticos definido</t>
  </si>
  <si>
    <t>Cumple (pruebas ejecutadas exclusivamente sobre los 20 documentos sintéticos y el entorno Docker de prueba)</t>
  </si>
  <si>
    <t>Revisión del Plan de Pruebas de Software (PPS) frente a su ejecución real</t>
  </si>
  <si>
    <t>RNF-014, RNF-028</t>
  </si>
  <si>
    <t>RNF-030</t>
  </si>
  <si>
    <t>Alineación con controles del Anexo A de ISO/IEC 27001:2022</t>
  </si>
  <si>
    <t>El diseño del sistema considera principios y controles de seguridad relacionados con el acceso, criptografía, integridad y protección de la información, tomando como referencia los controles definidos en el Anexo A de ISO/IEC 27001:2022 contemplados en el alcance del proyecto.</t>
  </si>
  <si>
    <t>Alcance normativo del proyecto</t>
  </si>
  <si>
    <t>El proyecto centra su enfoque normativo en los controles A.8.24 (uso de criptografía) y A.8.11 (enmascaramiento de datos) del Anexo A de ISO/IEC 27001:2022 [23], sin implementar ni certificar el SGSI completo.</t>
  </si>
  <si>
    <t>Número de controles del Anexo A adoptados como criterio de diseño (A.8.24 y A.8.11) efectivamente reflejados en la arquitectura</t>
  </si>
  <si>
    <t>Controles cumplidos / controles de referencia</t>
  </si>
  <si>
    <t>2 de 2 controles de referencia (A.8.24 y A.8.11) reflejados en el diseño</t>
  </si>
  <si>
    <t>Revisión de arquitectura frente a la matriz de trazabilidad normativa del proyecto</t>
  </si>
  <si>
    <t>RF-014, RF-015, RF-016, RF-027, RF-049</t>
  </si>
  <si>
    <t>RNF-004, RNF-005</t>
  </si>
  <si>
    <t>No se implementa ni evalúa el SGSI completo definido por la norma, conforme a las limitaciones del proyecto.</t>
  </si>
  <si>
    <t>Fichas de requisitos funcionales (RF-001 a RF-053)</t>
  </si>
  <si>
    <t>Una ficha de una página por cada requisito funcional del SRS v2, generada a partir de la hoja RF.</t>
  </si>
  <si>
    <t>Ficha de requisito funcional  (1 de 53)   RF-001 — Selección de rol de acceso</t>
  </si>
  <si>
    <t>31/08/2026</t>
  </si>
  <si>
    <t>Ficha de requisito funcional  (2 de 53)   RF-002 — Autenticación mediante credenciales</t>
  </si>
  <si>
    <t>—</t>
  </si>
  <si>
    <t>Ficha de requisito funcional  (3 de 53)   RF-003 — Autenticación de segundo factor</t>
  </si>
  <si>
    <t>Ficha de requisito funcional  (4 de 53)   RF-004 — Validación del token</t>
  </si>
  <si>
    <t>Ficha de requisito funcional  (5 de 53)   RF-005 — Control de acceso por rol</t>
  </si>
  <si>
    <t>Ficha de requisito funcional  (6 de 53)   RF-006 — Redirección según rol</t>
  </si>
  <si>
    <t>Ficha de requisito funcional  (7 de 53)   RF-007 — Cierre de sesión</t>
  </si>
  <si>
    <t>Ficha de requisito funcional  (8 de 53)   RF-008 — Carga de documentos</t>
  </si>
  <si>
    <t>Ficha de requisito funcional  (9 de 53)   RF-009 — Restricción de formato</t>
  </si>
  <si>
    <t>Ficha de requisito funcional  (10 de 53)   RF-010 — Restricción de carga individual</t>
  </si>
  <si>
    <t>Ficha de requisito funcional  (11 de 53)   RF-011 — Restricción de tamaño</t>
  </si>
  <si>
    <t>Ficha de requisito funcional  (12 de 53)   RF-012 — Validación previa de documentos</t>
  </si>
  <si>
    <t>Ficha de requisito funcional  (13 de 53)   RF-013 — Registro del documento</t>
  </si>
  <si>
    <t>Ficha de requisito funcional  (14 de 53)   RF-014 — Generación de huella criptográfica</t>
  </si>
  <si>
    <t>Ficha de requisito funcional  (15 de 53)   RF-015 — Registro de la huella criptográfica</t>
  </si>
  <si>
    <t>Ficha de requisito funcional  (16 de 53)   RF-016 — Registro en blockchain</t>
  </si>
  <si>
    <t>Ficha de requisito funcional  (17 de 53)   RF-017 — Confirmación de registro</t>
  </si>
  <si>
    <t>Ficha de requisito funcional  (18 de 53)   RF-018 — Consulta de documentos</t>
  </si>
  <si>
    <t>Ficha de requisito funcional  (19 de 53)   RF-019 — Información del documento</t>
  </si>
  <si>
    <t>Ficha de requisito funcional  (20 de 53)   RF-020 — Estado del documento</t>
  </si>
  <si>
    <t>Ficha de requisito funcional  (21 de 53)   RF-021 — Consulta de trazabilidad</t>
  </si>
  <si>
    <t>Ficha de requisito funcional  (22 de 53)   RF-022 — Información de trazabilidad</t>
  </si>
  <si>
    <t>Ficha de requisito funcional  (23 de 53)   RF-023 — Acceso al módulo de verificación</t>
  </si>
  <si>
    <t>Ficha de requisito funcional  (24 de 53)   RF-024 — Selección del documento registrado</t>
  </si>
  <si>
    <t>Ficha de requisito funcional  (25 de 53)   RF-025 — Validación de existencia</t>
  </si>
  <si>
    <t>Ficha de requisito funcional  (26 de 53)   RF-026 — Consulta de huella registrada</t>
  </si>
  <si>
    <t>Ficha de requisito funcional  (27 de 53)   RF-027 — Restricción de visualización del hash</t>
  </si>
  <si>
    <t>Ficha de requisito funcional  (28 de 53)   RF-028 — Carga del documento a verificar</t>
  </si>
  <si>
    <t>Ficha de requisito funcional  (29 de 53)   RF-029 — Validación del documento de comparación</t>
  </si>
  <si>
    <t>Ficha de requisito funcional  (30 de 53)   RF-030 — Generación de hash del documento de comparación</t>
  </si>
  <si>
    <t>Ficha de requisito funcional  (31 de 53)   RF-031 — Comparación de huellas</t>
  </si>
  <si>
    <t>Ficha de requisito funcional  (32 de 53)   RF-032 — Resultado de la verificación</t>
  </si>
  <si>
    <t>Ficha de requisito funcional  (33 de 53)   RF-033 — Visualización de evidencia</t>
  </si>
  <si>
    <t>Ficha de requisito funcional  (34 de 53)   RF-034 — Actualización del estado</t>
  </si>
  <si>
    <t>Ficha de requisito funcional  (35 de 53)   RF-035 — Registro de la verificación</t>
  </si>
  <si>
    <t>Ficha de requisito funcional  (36 de 53)   RF-036 — Nueva verificación</t>
  </si>
  <si>
    <t>Ficha de requisito funcional  (37 de 53)   RF-037 — Consulta de documentos registrados</t>
  </si>
  <si>
    <t>Ficha de requisito funcional  (38 de 53)   RF-038 — Vista de documentos del verificador</t>
  </si>
  <si>
    <t>Ficha de requisito funcional  (39 de 53)   RF-039 — Consulta de trazabilidad general</t>
  </si>
  <si>
    <t>Ficha de requisito funcional  (40 de 53)   RF-040 — Información de trazabilidad general</t>
  </si>
  <si>
    <t>Ficha de requisito funcional  (41 de 53)   RF-041 — Panel general</t>
  </si>
  <si>
    <t>Ficha de requisito funcional  (42 de 53)   RF-042 — Resumen documental</t>
  </si>
  <si>
    <t>Ficha de requisito funcional  (43 de 53)   RF-043 — Consulta de usuarios</t>
  </si>
  <si>
    <t>Ficha de requisito funcional  (44 de 53)   RF-044 — Información de usuarios</t>
  </si>
  <si>
    <t>Ficha de requisito funcional  (45 de 53)   RF-045 — Creación de usuarios</t>
  </si>
  <si>
    <t>Ficha de requisito funcional  (46 de 53)   RF-046 — Edición de usuarios</t>
  </si>
  <si>
    <t>Ficha de requisito funcional  (47 de 53)   RF-047 — Desactivación de usuarios</t>
  </si>
  <si>
    <t>Ficha de requisito funcional  (48 de 53)   RF-048 — Consulta administrativa de documentos</t>
  </si>
  <si>
    <t>Ficha de requisito funcional  (49 de 53)   RF-049 — Vista administrativa de documentos</t>
  </si>
  <si>
    <t>Ficha de requisito funcional  (50 de 53)   RF-050 — Consulta de trazabilidad administrativa</t>
  </si>
  <si>
    <t>Ficha de requisito funcional  (51 de 53)   RF-051 — Registro administrativo de trazabilidad</t>
  </si>
  <si>
    <t>Ficha de requisito funcional  (52 de 53)   RF-052 — Cambio de contraseña</t>
  </si>
  <si>
    <t>Ficha de requisito funcional  (53 de 53)   RF-053 — Validación de cambio de contraseña</t>
  </si>
  <si>
    <t>Fichas de requisitos no funcionales (RNF-001 a RNF-030)</t>
  </si>
  <si>
    <t>Una ficha de una página por cada requisito no funcional del SRS v2, generada a partir de la hoja RNF.</t>
  </si>
  <si>
    <t>Ficha de requisito no funcional  (1 de 30)   RNF-001 — Protección de contraseñas mediante hashing seguro</t>
  </si>
  <si>
    <t>Seguridad (security)</t>
  </si>
  <si>
    <t>Ficha de requisito no funcional  (2 de 30)   RNF-002 — Autenticación de doble factor</t>
  </si>
  <si>
    <t>Ficha de requisito no funcional  (3 de 30)   RNF-003 — Control de acceso basado en roles (RBAC)</t>
  </si>
  <si>
    <t>Ficha de requisito no funcional  (4 de 30)   RNF-004 — No almacenamiento del contenido documental en blockchain</t>
  </si>
  <si>
    <t>Ficha de requisito no funcional  (5 de 30)   RNF-005 — Inmutabilidad de las huellas registradas</t>
  </si>
  <si>
    <t>Ficha de requisito no funcional  (6 de 30)   RNF-006 — Registro de operaciones relevantes</t>
  </si>
  <si>
    <t>Ficha de requisito no funcional  (7 de 30)   RNF-007 — Gestión segura de sesiones</t>
  </si>
  <si>
    <t>Ficha de requisito no funcional  (8 de 30)   RNF-008 — Limitación de exposición de información documental</t>
  </si>
  <si>
    <t>Ficha de requisito no funcional  (9 de 30)   RNF-009 — Tiempo de respuesta de las operaciones principales</t>
  </si>
  <si>
    <t>Eficiencia de desempeño</t>
  </si>
  <si>
    <t>Ficha de requisito no funcional  (10 de 30)   RNF-010 — Latencia de la verificación de integridad</t>
  </si>
  <si>
    <t>Ficha de requisito no funcional  (11 de 30)   RNF-011 — Automatización del cálculo de huellas</t>
  </si>
  <si>
    <t>Ficha de requisito no funcional  (12 de 30)   RNF-012 — Disponibilidad durante el periodo de pruebas</t>
  </si>
  <si>
    <t>Fiabilidad</t>
  </si>
  <si>
    <t>Ficha de requisito no funcional  (13 de 30)   RNF-013 — Consistencia entre MongoDB y Hyperledger Fabric</t>
  </si>
  <si>
    <t>Adecuación funcional</t>
  </si>
  <si>
    <t>Ficha de requisito no funcional  (14 de 30)   RNF-014 — Detección de alteraciones documentales</t>
  </si>
  <si>
    <t>Ficha de requisito no funcional  (15 de 30)   RNF-015 — Usabilidad sin conocimientos especializados</t>
  </si>
  <si>
    <t>Capacidad de interacción</t>
  </si>
  <si>
    <t>Ficha de requisito no funcional  (16 de 30)   RNF-016 — Consistencia visual y de navegación</t>
  </si>
  <si>
    <t>Ficha de requisito no funcional  (17 de 30)   RNF-017 — Retroalimentación sobre el resultado de las operaciones</t>
  </si>
  <si>
    <t>Ficha de requisito no funcional  (18 de 30)   RNF-018 — Claridad de los mensajes de error</t>
  </si>
  <si>
    <t>Ficha de requisito no funcional  (19 de 30)   RNF-019 — Separación de responsabilidades por capas</t>
  </si>
  <si>
    <t>Mantenibilidad</t>
  </si>
  <si>
    <t>Ficha de requisito no funcional  (20 de 30)   RNF-020 — Integración indirecta con Hyperledger Fabric</t>
  </si>
  <si>
    <t>Ficha de requisito no funcional  (21 de 30)   RNF-021 — Despliegue mediante contenedores Docker</t>
  </si>
  <si>
    <t>Flexibilidad</t>
  </si>
  <si>
    <t>Ficha de requisito no funcional  (22 de 30)   RNF-022 — Extensibilidad de la arquitectura</t>
  </si>
  <si>
    <t>Ficha de requisito no funcional  (23 de 30)   RNF-023 — Compatibilidad exclusiva con PDF</t>
  </si>
  <si>
    <t>Compatibilidad</t>
  </si>
  <si>
    <t>Ficha de requisito no funcional  (24 de 30)   RNF-024 — Límite de tamaño de archivo</t>
  </si>
  <si>
    <t>Ficha de requisito no funcional  (25 de 30)   RNF-025 — Accesibilidad mediante navegadores modernos</t>
  </si>
  <si>
    <t>Ficha de requisito no funcional  (26 de 30)   RNF-026 — Reconstrucción cronológica de acciones</t>
  </si>
  <si>
    <t>Ficha de requisito no funcional  (27 de 30)   RNF-027 — Conservación del orden y del identificador de transacción</t>
  </si>
  <si>
    <t>Ficha de requisito no funcional  (28 de 30)   RNF-028 — Porcentaje de aprobación de la suite de pruebas</t>
  </si>
  <si>
    <t>Ficha de requisito no funcional  (29 de 30)   RNF-029 — Condiciones controladas de evaluación</t>
  </si>
  <si>
    <t>Ficha de requisito no funcional  (30 de 30)   RNF-030 — Alineación con controles del Anexo A de ISO/IEC 27001:2022</t>
  </si>
  <si>
    <t>Una fila por historia. Los escenarios de aceptación se registran en la hoja Criterios_Gherkin.</t>
  </si>
  <si>
    <t>La fila 7 es un ejemplo: sobrescríbela o bórrala antes de entregar. Una historia sin escenarios registrados no se puede dar por verificable.</t>
  </si>
  <si>
    <t>FORMATO NARRATIVO</t>
  </si>
  <si>
    <t>TRAZABILIDAD</t>
  </si>
  <si>
    <t>PLANEACIÓN</t>
  </si>
  <si>
    <t>CRITERIOS DE ACEPTACIÓN</t>
  </si>
  <si>
    <t>VERIFICACIÓN INVEST</t>
  </si>
  <si>
    <t>DEFINICIÓN DE TERMINADO</t>
  </si>
  <si>
    <t>Como (rol)</t>
  </si>
  <si>
    <t>Quiero (acción)</t>
  </si>
  <si>
    <t>Para (beneficio)</t>
  </si>
  <si>
    <t>Historia redactada</t>
  </si>
  <si>
    <t>Requisitos funcionales asociados</t>
  </si>
  <si>
    <t>Requisitos no funcionales asociados</t>
  </si>
  <si>
    <t>Estimación (puntos de historia)</t>
  </si>
  <si>
    <t>Iteración o sprint</t>
  </si>
  <si>
    <t>Escenarios registrados en Gherkin</t>
  </si>
  <si>
    <t>Independiente</t>
  </si>
  <si>
    <t>Negociable</t>
  </si>
  <si>
    <t>Valiosa</t>
  </si>
  <si>
    <t>Estimable</t>
  </si>
  <si>
    <t>Pequeña</t>
  </si>
  <si>
    <t>Cumple INVEST</t>
  </si>
  <si>
    <t>Cumple la definición de terminado</t>
  </si>
  <si>
    <t>EP-01 Autenticación y control de acceso</t>
  </si>
  <si>
    <t>usuario del sistema (Empleado, Verificador o Administrador)</t>
  </si>
  <si>
    <t>RF-001, RF-002</t>
  </si>
  <si>
    <t>RNF-02</t>
  </si>
  <si>
    <t>Sprint 1</t>
  </si>
  <si>
    <t>Por hacer</t>
  </si>
  <si>
    <t>Sí</t>
  </si>
  <si>
    <t>No</t>
  </si>
  <si>
    <t>Autenticación de doble factor y acceso por rol</t>
  </si>
  <si>
    <t>usuario del sistema</t>
  </si>
  <si>
    <t>validar un token de segundo factor enviado a mi correo corporativo y que el sistema confirme mi rol</t>
  </si>
  <si>
    <t>acceder de forma segura únicamente a las funcionalidades autorizadas para mi rol</t>
  </si>
  <si>
    <t>RF-003, RF-004, RF-005, RF-006</t>
  </si>
  <si>
    <t>RNF-02, RNF-03</t>
  </si>
  <si>
    <t>Cierre de sesión seguro</t>
  </si>
  <si>
    <t>usuario autenticado</t>
  </si>
  <si>
    <t>cerrar mi sesión de forma segura</t>
  </si>
  <si>
    <t>evitar que alguien más use mi sesión activa desde el mismo equipo</t>
  </si>
  <si>
    <t>RNF-07</t>
  </si>
  <si>
    <t>cambiar mi contraseña ingresando la actual y la nueva</t>
  </si>
  <si>
    <t>mantener segura mi cuenta sin depender del administrador</t>
  </si>
  <si>
    <t>RF-052, RF-053</t>
  </si>
  <si>
    <t>RNF-01</t>
  </si>
  <si>
    <t>EP-02 Registro y gestión documental (Empleado)</t>
  </si>
  <si>
    <t>Carga y validación de documentos contractuales</t>
  </si>
  <si>
    <t>cargar un documento contractual en PDF de máximo 20 MB</t>
  </si>
  <si>
    <t>iniciar su registro y la generación de evidencia de integridad</t>
  </si>
  <si>
    <t>RF-008, RF-009, RF-010, RF-011, RF-012</t>
  </si>
  <si>
    <t>RNF-23, RNF-24</t>
  </si>
  <si>
    <t>Sprint 2</t>
  </si>
  <si>
    <t>Registro de metadatos y generación de huella criptográfica</t>
  </si>
  <si>
    <t>que el sistema registre los metadatos de mi documento y calcule automáticamente su huella SHA-256</t>
  </si>
  <si>
    <t>contar con evidencia de integridad desde el momento del registro</t>
  </si>
  <si>
    <t>RF-013, RF-014, RF-015</t>
  </si>
  <si>
    <t>RNF-11, RNF-13</t>
  </si>
  <si>
    <t>Registro de la huella en la red blockchain</t>
  </si>
  <si>
    <t>que la huella de mi documento quede registrada en la red Hyperledger Fabric y reciba confirmación</t>
  </si>
  <si>
    <t>tener evidencia inmutable de integridad sin que se exponga el contenido del documento</t>
  </si>
  <si>
    <t>RF-016, RF-017</t>
  </si>
  <si>
    <t>RNF-04, RNF-05, RNF-20</t>
  </si>
  <si>
    <t>Consulta de mis documentos y su estado</t>
  </si>
  <si>
    <t>consultar el listado de los documentos que he registrado con su estado actual</t>
  </si>
  <si>
    <t>hacer seguimiento a mis contratos sin depender de otro canal</t>
  </si>
  <si>
    <t>RF-018, RF-019, RF-020</t>
  </si>
  <si>
    <t>RNF-09</t>
  </si>
  <si>
    <t>Sprint 4</t>
  </si>
  <si>
    <t>Consulta de trazabilidad de mis documentos</t>
  </si>
  <si>
    <t>consultar el historial de acciones registradas sobre mis documentos</t>
  </si>
  <si>
    <t>verificar qué ocurrió con cada uno y cuándo</t>
  </si>
  <si>
    <t>RF-021, RF-022</t>
  </si>
  <si>
    <t>RNF-06, RNF-26, RNF-27</t>
  </si>
  <si>
    <t>EP-03 Verificación de integridad documental (Verificador)</t>
  </si>
  <si>
    <t>Selección del documento a verificar</t>
  </si>
  <si>
    <t>seleccionar un documento previamente registrado en el sistema</t>
  </si>
  <si>
    <t>iniciar su proceso de verificación de integridad</t>
  </si>
  <si>
    <t>RF-023, RF-024, RF-025</t>
  </si>
  <si>
    <t>Sprint 3</t>
  </si>
  <si>
    <t>Consulta de la huella registrada con control de visibilidad</t>
  </si>
  <si>
    <t>consultar la huella criptográfica registrada del documento seleccionado</t>
  </si>
  <si>
    <t>contar con la evidencia base de comparación, respetando las restricciones de acceso por rol</t>
  </si>
  <si>
    <t>RF-026, RF-027</t>
  </si>
  <si>
    <t>RNF-08</t>
  </si>
  <si>
    <t>Carga del documento a comparar</t>
  </si>
  <si>
    <t>cargar el documento PDF que se comparará con la versión registrada</t>
  </si>
  <si>
    <t>generar la huella con la que se hará la verificación</t>
  </si>
  <si>
    <t>RF-028, RF-029</t>
  </si>
  <si>
    <t>Comparación de huellas y resultado de la verificación</t>
  </si>
  <si>
    <t>que el sistema calcule la huella del documento cargado y la compare con la huella registrada</t>
  </si>
  <si>
    <t>confirmar si la integridad del documento se mantiene o fue comprometida</t>
  </si>
  <si>
    <t>RF-030, RF-031, RF-032, RF-033</t>
  </si>
  <si>
    <t>RNF-10, RNF-14</t>
  </si>
  <si>
    <t>Actualización de estado y registro de la verificación</t>
  </si>
  <si>
    <t>que el resultado de la verificación actualice el estado del documento y quede registrado en el ledger</t>
  </si>
  <si>
    <t>dejar evidencia auditable de cada verificación realizada, con opción de iniciar una nueva</t>
  </si>
  <si>
    <t>RF-034, RF-035, RF-036</t>
  </si>
  <si>
    <t>RNF-05, RNF-27</t>
  </si>
  <si>
    <t>Consulta general de documentos registrados</t>
  </si>
  <si>
    <t>consultar todos los documentos registrados en el sistema</t>
  </si>
  <si>
    <t>ubicar cualquier documento que deba validar o auditar</t>
  </si>
  <si>
    <t>RF-037, RF-038</t>
  </si>
  <si>
    <t>Consulta general de trazabilidad</t>
  </si>
  <si>
    <t>consultar el historial completo de acciones registradas sobre cualquier documento</t>
  </si>
  <si>
    <t>auditar el ciclo de vida documental de la organización</t>
  </si>
  <si>
    <t>RF-039, RF-040</t>
  </si>
  <si>
    <t>RNF-26, RNF-27</t>
  </si>
  <si>
    <t>EP-04 Administración del sistema</t>
  </si>
  <si>
    <t>Panel general con resumen documental</t>
  </si>
  <si>
    <t>Administrador</t>
  </si>
  <si>
    <t>ver un panel con el número de documentos registrados, verificados, pendientes y alterados</t>
  </si>
  <si>
    <t>dimensionar rápidamente el estado de la gestión documental</t>
  </si>
  <si>
    <t>RF-041, RF-042</t>
  </si>
  <si>
    <t>Gestión del ciclo de vida de usuarios</t>
  </si>
  <si>
    <t>consultar, crear, editar y desactivar usuarios del sistema</t>
  </si>
  <si>
    <t>mantener actualizado y controlado el acceso de Empleados y Verificadores</t>
  </si>
  <si>
    <t>RF-043, RF-044, RF-045, RF-046, RF-047</t>
  </si>
  <si>
    <t>RNF-03</t>
  </si>
  <si>
    <t>consultar todos los documentos registrados en el sistema con sus metadatos y huella</t>
  </si>
  <si>
    <t>dar soporte y supervisión sobre la gestión documental de la organización</t>
  </si>
  <si>
    <t>RF-048, RF-049</t>
  </si>
  <si>
    <t>RNF-04, RNF-08</t>
  </si>
  <si>
    <t>Consulta administrativa de trazabilidad</t>
  </si>
  <si>
    <t>consultar el registro histórico completo de acciones sobre los documentos</t>
  </si>
  <si>
    <t>auditar el uso del sistema desde una perspectiva administrativa</t>
  </si>
  <si>
    <t>RF-050, RF-051</t>
  </si>
  <si>
    <t>EP-05 Infraestructura y despliegue</t>
  </si>
  <si>
    <t>Despliegue de la red blockchain permisionada y del entorno con Docker</t>
  </si>
  <si>
    <t>equipo de desarrollo</t>
  </si>
  <si>
    <t>desplegar la red Hyperledger Fabric, el backend, el frontend y MongoDB mediante Docker Compose</t>
  </si>
  <si>
    <t>contar con un entorno reproducible donde ejecutar y validar el MVP</t>
  </si>
  <si>
    <t>RNF-19, RNF-20, RNF-21, RNF-22</t>
  </si>
  <si>
    <t>Sprint 0</t>
  </si>
  <si>
    <t>Definición de terminado</t>
  </si>
  <si>
    <t>Acuerdo único del equipo. Cada criterio se convierte en una columna de la hoja Historias_Usuario.</t>
  </si>
  <si>
    <t>Puedes reescribir los cinco criterios; los encabezados del backlog se actualizan solos.</t>
  </si>
  <si>
    <t>Criterio de terminado</t>
  </si>
  <si>
    <t>Evidencia que lo sustenta</t>
  </si>
  <si>
    <t>Revisión por pares superada e integración en la rama principal del repositorio (GitHub)</t>
  </si>
  <si>
    <t>Enlace a la solicitud de incorporación (pull request) aprobada en el repositorio del proyecto</t>
  </si>
  <si>
    <t>Casos del Plan de Pruebas de Software (PPS) asociados a la historia ejecutados con resultado PASS</t>
  </si>
  <si>
    <t>Reporte de ejecución de la suite de pruebas (PPS) para los casos vinculados a la historia</t>
  </si>
  <si>
    <t>Requisitos funcionales y no funcionales del SRS actualizados según lo implementado en la historia</t>
  </si>
  <si>
    <t>Identificadores RF y RNF referenciados en la hoja de trazabilidad (RF y RNF de este libro)</t>
  </si>
  <si>
    <t>Historia desplegada y verificada en el entorno de prueba (Docker Compose / máquina virtual de Azure)</t>
  </si>
  <si>
    <t>Número de versión de la imagen y fecha del despliegue en el entorno de prueba</t>
  </si>
  <si>
    <t>Aceptación registrada por el director o la codirectora del proyecto</t>
  </si>
  <si>
    <t>Acta o registro de la sesión de revisión con el director o la codirectora</t>
  </si>
  <si>
    <t>Catálogos de valores</t>
  </si>
  <si>
    <t>Alimentan las listas desplegables de las hojas de captura.</t>
  </si>
  <si>
    <t>Para ampliar un catálogo escribe dentro del rango existente; si agregas filas al final, actualiza el nombre definido.</t>
  </si>
  <si>
    <t>Estado del requisito</t>
  </si>
  <si>
    <t>Confirmación</t>
  </si>
  <si>
    <t>Puntos de historia</t>
  </si>
  <si>
    <t>Estado de la historia</t>
  </si>
  <si>
    <t>Completitud funcional</t>
  </si>
  <si>
    <t>En curso</t>
  </si>
  <si>
    <t>Pertinencia funcional</t>
  </si>
  <si>
    <t>Implementado</t>
  </si>
  <si>
    <t>Fallido</t>
  </si>
  <si>
    <t>En verificación</t>
  </si>
  <si>
    <t>No por ahora (Won't)</t>
  </si>
  <si>
    <t>Verificado</t>
  </si>
  <si>
    <t>Terminada</t>
  </si>
  <si>
    <t>Utilización de recursos</t>
  </si>
  <si>
    <t>Rechazado</t>
  </si>
  <si>
    <t>Coexistencia</t>
  </si>
  <si>
    <t>Aprendizabilidad</t>
  </si>
  <si>
    <t>Compromiso del usuario</t>
  </si>
  <si>
    <t>Inclusividad</t>
  </si>
  <si>
    <t>Asistencia al usuario</t>
  </si>
  <si>
    <t>Autodescripción</t>
  </si>
  <si>
    <t>Ausencia de fallos</t>
  </si>
  <si>
    <t>Tolerancia a fallos</t>
  </si>
  <si>
    <t>Capacidad de recuperación</t>
  </si>
  <si>
    <t>Resistencia</t>
  </si>
  <si>
    <t>Reusabilidad</t>
  </si>
  <si>
    <t>Analizabilidad</t>
  </si>
  <si>
    <t>Escalabilidad</t>
  </si>
  <si>
    <t>Capacidad de reemplazo</t>
  </si>
  <si>
    <t>Restricción operativa</t>
  </si>
  <si>
    <t>Seguridad física (safety)</t>
  </si>
  <si>
    <t>Identificación de riesgos</t>
  </si>
  <si>
    <t>Fallo seguro</t>
  </si>
  <si>
    <t>Advertencia de peligros</t>
  </si>
  <si>
    <t>Integración segura</t>
  </si>
  <si>
    <t>Referencias adicionales (formato IEEE)</t>
  </si>
  <si>
    <t>Fuentes utilizadas para elaborar esta plantilla de requisitos que NO forman parte de la bibliografía del trabajo de grado. Las referencias que sí provienen del proyecto se citan dentro de cada requisito con el número correspondiente a la numeración vigente del documento final (por ejemplo, [23] para ISO/IEC 27001:2022, [10] para la Ley 527 de 1999, [9] para la Ley 1581 de 2012, [19] para la documentación de Hyperledger Fabric, [31] para la guía del MinTIC, [34] para NIST FIPS 202/SHA-256, [36] para el Decreto 2364 de 2012, [22] para ISO 15489-1:2016, [30] para Mier Bello et al., [7] para la Sentencia SP248-2025 de la Corte Suprema de Justicia y [8] para la Circular Externa 005 de 2017 de la Superintendencia de Industria y Comercio).</t>
  </si>
  <si>
    <t>N.°</t>
  </si>
  <si>
    <t>Referencia en formato IEEE</t>
  </si>
  <si>
    <t>Uso dentro de este libro</t>
  </si>
  <si>
    <t>N-1</t>
  </si>
  <si>
    <t>International Organization for Standardization, ISO/IEC/IEEE 29148:2018 — Systems and software engineering — Life cycle processes — Requirements engineering, Geneva, Switzerland: ISO/IEC/IEEE, 2018.</t>
  </si>
  <si>
    <t>Estructura y criterios de calidad (necesario, no ambiguo, verificable, etc.) usados para especificar y revisar cada requisito funcional y no funcional en las hojas RF y RNF.</t>
  </si>
  <si>
    <t>N-2</t>
  </si>
  <si>
    <t>International Organization for Standardization, ISO/IEC 25010:2023 — Systems and software engineering — Systems and software Quality Requirements and Evaluation (SQuaRE) — Product quality model, Geneva, Switzerland: ISO, 2023.</t>
  </si>
  <si>
    <t>Modelo de características y subcaracterísticas de calidad utilizado para clasificar cada requisito no funcional en la hoja RNF (columnas Característica y Subcaracterística).</t>
  </si>
  <si>
    <t>Inicio de sesión</t>
  </si>
  <si>
    <t>Permite al usuario iniciar sesión ingresando únicamente su correo electrónico corporativo y su contraseña.</t>
  </si>
  <si>
    <t>1. El sistema muestra el formulario de inicio de sesión con los campos correo electrónico y contraseña. 2. El usuario ingresa sus datos. 3. El sistema continúa con la validación de credenciales de RF-002.</t>
  </si>
  <si>
    <t>RN-01: El sistema no solicita ni acepta la selección de rol por parte del usuario. RN-02: Los roles válidos del sistema son Administrador, Empleado y Verificador.</t>
  </si>
  <si>
    <t>CA-01: Dado que el usuario está en la pantalla de inicio, cuando la visualiza, entonces el sistema muestra únicamente los campos de correo electrónico y contraseña.</t>
  </si>
  <si>
    <t>El rol se determina a partir de la cuenta del usuario.</t>
  </si>
  <si>
    <t>Solicita correo electrónico y contraseña corporativos como primer factor de autenticación.</t>
  </si>
  <si>
    <t xml:space="preserve">	El usuario visualiza el formulario de inicio de sesión (RF-001).</t>
  </si>
  <si>
    <t>1. El sistema solicita correo electrónico y contraseña. 2. El usuario los ingresa y envía el formulario. 3. El sistema valida las credenciales contra el registro de usuarios y continúa con RF-003.</t>
  </si>
  <si>
    <t>Asignación de rol y control de acceso</t>
  </si>
  <si>
    <t>Permite el acceso únicamente cuando credenciales y token son válidos, e identifica automáticamente el rol del usuario (Administrador, Empleado o Verificador) a partir de su cuenta. Cada usuario tiene un único rol asignado.</t>
  </si>
  <si>
    <t>Materializa el esquema RBAC exigido por RNF-03 al determinar el rol desde la cuenta del usuario y no desde un dato enviado por el cliente.</t>
  </si>
  <si>
    <t>1. El sistema consulta el rol asignado al usuario en la base de datos. 2. Si el usuario está activo y tiene un rol válido, el sistema concede acceso con ese rol. 3. Si el usuario está inactivo o no tiene rol válido, el sistema deniega el acceso.</t>
  </si>
  <si>
    <t>RN-01: Cada usuario tiene un único rol, asignado por el Administrador. RN-02: Un usuario sin rol válido o inactivo no puede acceder, aunque sus credenciales sean válidas.</t>
  </si>
  <si>
    <t>CA-01: Dado un usuario con credenciales y token válidos y rol Verificador, cuando el sistema valida el acceso, entonces lo concede con rol Verificador. CA-02: Dado un usuario inactivo o sin rol válido, cuando el sistema valida el acceso, entonces lo deniega y muestra un mensaje de error.</t>
  </si>
  <si>
    <t>RF-005, RF-006, RF-023, RF-027, RF-041 a RF-051</t>
  </si>
  <si>
    <t>Inicio de sesión con credenciales corporativas</t>
  </si>
  <si>
    <t>ingresar mi correo y contraseña corporativos</t>
  </si>
  <si>
    <t>iniciar el proceso de autenticación y acceder con el rol asignado a mi cuenta</t>
  </si>
  <si>
    <t>ingresa su correo y contraseña válidos</t>
  </si>
  <si>
    <t>el sistema identifica su rol asignado y lo redirige al panel correspondiente</t>
  </si>
  <si>
    <t>que el usuario está inactivo o no tiene un rol válido asignado</t>
  </si>
  <si>
    <t>el sistema invalida el token de sesión y lo redirige a la pantalla de inicio de sesión</t>
  </si>
  <si>
    <t>Permite al usuario iniciar sesión ingresando únicamente su correo electrónico corporativo y su contraseña, sin seleccionar previamente un rol.</t>
  </si>
  <si>
    <t>El rol deja de ser un dato ingresado por el usuario y pasa a ser un atributo de su cuenta, lo que habilita el control de acceso por rol (RBAC) exigido en RNF-03.</t>
  </si>
  <si>
    <t>CA-01: Dado que el usuario está en la pantalla de inicio, cuando la visualiza, entonces el sistema muestra únicamente los campos de correo electrónico y contraseña, sin selector de rol.</t>
  </si>
  <si>
    <t>Nota de cambio: se elimina la selección manual de rol; el rol se determina a partir de la cuenta del usuario.</t>
  </si>
  <si>
    <t>El usuario visualiza el formulario de inicio de sesión (RF-001).</t>
  </si>
  <si>
    <t>El sistema valida correctamente correo electrónico y contraseña.</t>
  </si>
  <si>
    <t>1. El sistema consulta el rol asignado al usuario en la base de datos. 2. Si el usuario está activo y tiene un rol válido, el sistema concede acceso con ese rol. 3. Si el usuario está inactivo o no tiene un rol válido, el sistema deniega el acceso.</t>
  </si>
  <si>
    <t>1. El sistema identifica el rol asignado a la cuenta del usuario autenticado. 2. El sistema redirige al panel correspondiente (Empleado, Verificador o Administrador).</t>
  </si>
  <si>
    <t>1. El usuario selecciona cerrar sesión. 2. El sistema invalida el token de sesión activo. 3. El sistema redirige a la pantalla de inicio de sesión (RF-001).</t>
  </si>
  <si>
    <t>Es necesaria para incorporar empleados y verificadores al sistema conforme a los tres roles definidos (RF-005).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</si>
</sst>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0" x14ac:knownFonts="1">
    <font>
      <sz val="11"/>
      <color theme="1"/>
      <name val="Calibri"/>
      <family val="2"/>
      <charset val="1"/>
    </font>
    <font>
      <b/>
      <sz val="10"/>
      <color rgb="FF0067AD"/>
      <name val="Tahoma"/>
      <family val="2"/>
    </font>
    <font>
      <b/>
      <sz val="15"/>
      <color rgb="FF26306A"/>
      <name val="Tahoma"/>
      <family val="2"/>
    </font>
    <font>
      <sz val="9"/>
      <color rgb="FF595959"/>
      <name val="Tahoma"/>
      <family val="2"/>
    </font>
    <font>
      <b/>
      <sz val="9"/>
      <color rgb="FFFFFFFF"/>
      <name val="Tahoma"/>
      <family val="2"/>
    </font>
    <font>
      <b/>
      <sz val="9"/>
      <name val="Tahoma"/>
      <family val="2"/>
    </font>
    <font>
      <sz val="9"/>
      <name val="Tahoma"/>
      <family val="2"/>
    </font>
    <font>
      <b/>
      <sz val="10"/>
      <color rgb="FF26306A"/>
      <name val="Tahoma"/>
      <family val="2"/>
    </font>
    <font>
      <sz val="8"/>
      <color rgb="FF595959"/>
      <name val="Tahoma"/>
      <family val="2"/>
    </font>
    <font>
      <b/>
      <sz val="8"/>
      <color rgb="FF26306A"/>
      <name val="Tahoma"/>
      <family val="2"/>
    </font>
    <font>
      <b/>
      <sz val="13"/>
      <color rgb="FFFFFFFF"/>
      <name val="Tahoma"/>
      <family val="2"/>
    </font>
    <font>
      <i/>
      <sz val="9"/>
      <color rgb="FF595959"/>
      <name val="Tahoma"/>
      <family val="2"/>
    </font>
    <font>
      <sz val="9"/>
      <color rgb="FF7F5F00"/>
      <name val="Tahoma"/>
      <family val="2"/>
    </font>
    <font>
      <b/>
      <sz val="13"/>
      <name val="Calibri"/>
      <family val="2"/>
    </font>
    <font>
      <b/>
      <sz val="11"/>
      <color rgb="FFFFFFFF"/>
      <name val="Calibri"/>
      <family val="2"/>
    </font>
    <font>
      <b/>
      <sz val="14"/>
      <name val="Calibri"/>
      <family val="2"/>
    </font>
    <font>
      <sz val="9"/>
      <color rgb="FF595959"/>
      <name val="Calibri"/>
      <family val="2"/>
    </font>
    <font>
      <b/>
      <sz val="13"/>
      <color rgb="FFFFFFFF"/>
      <name val="Calibri"/>
      <family val="2"/>
    </font>
    <font>
      <b/>
      <sz val="9"/>
      <color rgb="FFFFFFFF"/>
      <name val="Calibri"/>
      <family val="2"/>
    </font>
    <font>
      <b/>
      <sz val="9"/>
      <name val="Calibri"/>
      <family val="2"/>
    </font>
  </fonts>
  <fills count="13">
    <fill>
      <patternFill patternType="none"/>
    </fill>
    <fill>
      <patternFill patternType="gray125"/>
    </fill>
    <fill>
      <patternFill patternType="solid">
        <fgColor rgb="FF0067AD"/>
        <bgColor rgb="FF008080"/>
      </patternFill>
    </fill>
    <fill>
      <patternFill patternType="solid">
        <fgColor rgb="FFFFFFFF"/>
        <bgColor rgb="FFFDF3D8"/>
      </patternFill>
    </fill>
    <fill>
      <patternFill patternType="solid">
        <fgColor rgb="FFEFEFEF"/>
        <bgColor rgb="FFE3F1E4"/>
      </patternFill>
    </fill>
    <fill>
      <patternFill patternType="solid">
        <fgColor rgb="FF26306A"/>
        <bgColor rgb="FF333333"/>
      </patternFill>
    </fill>
    <fill>
      <patternFill patternType="solid">
        <fgColor rgb="FFF0B61B"/>
        <bgColor rgb="FFFF9900"/>
      </patternFill>
    </fill>
    <fill>
      <patternFill patternType="solid">
        <fgColor rgb="FFFDF3D8"/>
        <bgColor rgb="FFEFEFEF"/>
      </patternFill>
    </fill>
    <fill>
      <patternFill patternType="solid">
        <fgColor rgb="FF7030A0"/>
      </patternFill>
    </fill>
    <fill>
      <patternFill patternType="solid">
        <fgColor rgb="FF26306A"/>
      </patternFill>
    </fill>
    <fill>
      <patternFill patternType="solid">
        <fgColor rgb="FF0067AD"/>
      </patternFill>
    </fill>
    <fill>
      <patternFill patternType="solid">
        <fgColor rgb="FFEFEFEF"/>
      </patternFill>
    </fill>
    <fill>
      <patternFill patternType="solid">
        <fgColor rgb="FFFFFF00"/>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9">
    <xf numFmtId="0" fontId="0" fillId="0" borderId="0" xfId="0"/>
    <xf numFmtId="0" fontId="3" fillId="4" borderId="1" xfId="0" applyFont="1" applyFill="1" applyBorder="1" applyAlignment="1">
      <alignment horizontal="left" vertical="top" wrapText="1"/>
    </xf>
    <xf numFmtId="0" fontId="4" fillId="2" borderId="1" xfId="0" applyFont="1" applyFill="1" applyBorder="1" applyAlignment="1">
      <alignment horizontal="center" vertical="center"/>
    </xf>
    <xf numFmtId="0" fontId="1" fillId="0" borderId="0" xfId="0" applyFont="1"/>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7" fillId="4" borderId="1" xfId="0" applyFont="1" applyFill="1" applyBorder="1" applyAlignment="1">
      <alignment horizontal="center" vertical="center"/>
    </xf>
    <xf numFmtId="0" fontId="8" fillId="0" borderId="0" xfId="0" applyFont="1"/>
    <xf numFmtId="0" fontId="9" fillId="0" borderId="0" xfId="0" applyFont="1"/>
    <xf numFmtId="0" fontId="4" fillId="5" borderId="1" xfId="0" applyFont="1" applyFill="1" applyBorder="1" applyAlignment="1">
      <alignment horizontal="left" vertical="top"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6" fillId="3"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4" fillId="5" borderId="1" xfId="0" applyFont="1" applyFill="1" applyBorder="1" applyAlignment="1">
      <alignment horizontal="center" vertical="center" wrapText="1"/>
    </xf>
    <xf numFmtId="164" fontId="6" fillId="3" borderId="1" xfId="0" applyNumberFormat="1" applyFont="1" applyFill="1" applyBorder="1" applyAlignment="1">
      <alignment horizontal="left" vertical="top" wrapText="1"/>
    </xf>
    <xf numFmtId="0" fontId="3" fillId="4" borderId="1" xfId="0" applyFont="1" applyFill="1" applyBorder="1" applyAlignment="1">
      <alignment horizontal="center" vertical="center"/>
    </xf>
    <xf numFmtId="0" fontId="11" fillId="3" borderId="1" xfId="0" applyFont="1" applyFill="1" applyBorder="1" applyAlignment="1">
      <alignment vertical="top" wrapText="1"/>
    </xf>
    <xf numFmtId="0" fontId="6" fillId="3" borderId="1" xfId="0" applyFont="1" applyFill="1" applyBorder="1" applyAlignment="1">
      <alignment vertical="top" wrapText="1"/>
    </xf>
    <xf numFmtId="164" fontId="6" fillId="3" borderId="1" xfId="0" applyNumberFormat="1" applyFont="1" applyFill="1" applyBorder="1" applyAlignment="1">
      <alignment vertical="top" wrapText="1"/>
    </xf>
    <xf numFmtId="0" fontId="3" fillId="4" borderId="1" xfId="0" applyFont="1" applyFill="1" applyBorder="1" applyAlignment="1">
      <alignment vertical="top" wrapText="1"/>
    </xf>
    <xf numFmtId="0" fontId="6" fillId="0" borderId="1" xfId="0" applyFont="1" applyBorder="1" applyAlignment="1">
      <alignment vertical="top" wrapText="1"/>
    </xf>
    <xf numFmtId="0" fontId="13" fillId="0" borderId="0" xfId="0" applyFont="1"/>
    <xf numFmtId="0" fontId="0" fillId="0" borderId="0" xfId="0" applyAlignment="1">
      <alignment vertical="top" wrapText="1"/>
    </xf>
    <xf numFmtId="0" fontId="14" fillId="8" borderId="0" xfId="0" applyFont="1" applyFill="1"/>
    <xf numFmtId="0" fontId="15" fillId="0" borderId="0" xfId="0" applyFont="1"/>
    <xf numFmtId="0" fontId="16" fillId="0" borderId="0" xfId="0" applyFont="1"/>
    <xf numFmtId="0" fontId="19" fillId="0" borderId="0" xfId="0" applyFont="1" applyAlignment="1">
      <alignment horizontal="left" vertical="top" wrapText="1"/>
    </xf>
    <xf numFmtId="0" fontId="6" fillId="4" borderId="1" xfId="0" applyFont="1" applyFill="1" applyBorder="1" applyAlignment="1">
      <alignment vertical="top" wrapText="1"/>
    </xf>
    <xf numFmtId="0" fontId="0" fillId="0" borderId="0" xfId="0" applyAlignment="1">
      <alignment vertical="top" wrapText="1"/>
    </xf>
    <xf numFmtId="0" fontId="0" fillId="0" borderId="0" xfId="0"/>
    <xf numFmtId="0" fontId="6" fillId="3" borderId="1" xfId="0" applyFont="1" applyFill="1" applyBorder="1" applyAlignment="1">
      <alignment horizontal="left" vertical="center" wrapText="1"/>
    </xf>
    <xf numFmtId="0" fontId="0" fillId="0" borderId="2" xfId="0" applyBorder="1"/>
    <xf numFmtId="0" fontId="0" fillId="0" borderId="3" xfId="0" applyBorder="1"/>
    <xf numFmtId="164" fontId="6" fillId="3" borderId="1" xfId="0" applyNumberFormat="1" applyFont="1" applyFill="1" applyBorder="1" applyAlignment="1">
      <alignment horizontal="left" vertical="center" wrapText="1"/>
    </xf>
    <xf numFmtId="0" fontId="4" fillId="2" borderId="0" xfId="0" applyFont="1" applyFill="1" applyAlignment="1">
      <alignment horizontal="left" vertical="center" indent="1"/>
    </xf>
    <xf numFmtId="0" fontId="2" fillId="0" borderId="0" xfId="0" applyFont="1"/>
    <xf numFmtId="0" fontId="3" fillId="0" borderId="0" xfId="0" applyFont="1"/>
    <xf numFmtId="0" fontId="10" fillId="5" borderId="0" xfId="0" applyFont="1" applyFill="1" applyAlignment="1">
      <alignment horizontal="left" vertical="center" indent="1"/>
    </xf>
    <xf numFmtId="0" fontId="6" fillId="0" borderId="0" xfId="0" applyFont="1" applyAlignment="1">
      <alignment horizontal="left" vertical="center" wrapText="1"/>
    </xf>
    <xf numFmtId="0" fontId="11" fillId="0" borderId="0" xfId="0" applyFont="1" applyAlignment="1">
      <alignment horizontal="left" vertical="center" indent="1"/>
    </xf>
    <xf numFmtId="0" fontId="4" fillId="2" borderId="1" xfId="0" applyFont="1" applyFill="1" applyBorder="1" applyAlignment="1">
      <alignment horizontal="center" vertical="center"/>
    </xf>
    <xf numFmtId="0" fontId="12" fillId="7" borderId="0" xfId="0" applyFont="1" applyFill="1" applyAlignment="1">
      <alignment horizontal="left" vertical="center" indent="1"/>
    </xf>
    <xf numFmtId="0" fontId="18" fillId="10" borderId="0" xfId="0" applyFont="1" applyFill="1" applyAlignment="1">
      <alignment horizontal="left" vertical="center"/>
    </xf>
    <xf numFmtId="0" fontId="16" fillId="11" borderId="4" xfId="0" applyFont="1" applyFill="1" applyBorder="1" applyAlignment="1">
      <alignment horizontal="left" vertical="top" wrapText="1"/>
    </xf>
    <xf numFmtId="0" fontId="17" fillId="9" borderId="0" xfId="0" applyFont="1" applyFill="1" applyAlignment="1">
      <alignment horizontal="left" vertical="center"/>
    </xf>
    <xf numFmtId="0" fontId="16" fillId="12" borderId="4" xfId="0" applyFont="1" applyFill="1" applyBorder="1" applyAlignment="1">
      <alignment horizontal="left" vertical="top" wrapText="1"/>
    </xf>
    <xf numFmtId="0" fontId="0" fillId="12" borderId="0" xfId="0" applyFill="1"/>
    <xf numFmtId="0" fontId="0" fillId="0" borderId="0" xfId="0" applyAlignment="1">
      <alignment horizontal="left"/>
    </xf>
  </cellXfs>
  <cellStyles count="1">
    <cellStyle name="Normal" xfId="0" builtinId="0"/>
  </cellStyles>
  <dxfs count="4">
    <dxf>
      <fill>
        <patternFill>
          <bgColor rgb="FFE3F1E4"/>
        </patternFill>
      </fill>
    </dxf>
    <dxf>
      <fill>
        <patternFill>
          <bgColor rgb="FFFDE3E3"/>
        </patternFill>
      </fill>
    </dxf>
    <dxf>
      <fill>
        <patternFill>
          <bgColor rgb="FFE3F1E4"/>
        </patternFill>
      </fill>
    </dxf>
    <dxf>
      <fill>
        <patternFill>
          <bgColor rgb="FFFDE3E3"/>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5F00"/>
      <rgbColor rgb="FF800080"/>
      <rgbColor rgb="FF008080"/>
      <rgbColor rgb="FFBFBFBF"/>
      <rgbColor rgb="FF808080"/>
      <rgbColor rgb="FF9999FF"/>
      <rgbColor rgb="FF993366"/>
      <rgbColor rgb="FFFDF3D8"/>
      <rgbColor rgb="FFEFEFEF"/>
      <rgbColor rgb="FF660066"/>
      <rgbColor rgb="FFFF8080"/>
      <rgbColor rgb="FF0067AD"/>
      <rgbColor rgb="FFCCCCFF"/>
      <rgbColor rgb="FF000080"/>
      <rgbColor rgb="FFFF00FF"/>
      <rgbColor rgb="FFFFFF00"/>
      <rgbColor rgb="FF00FFFF"/>
      <rgbColor rgb="FF800080"/>
      <rgbColor rgb="FF800000"/>
      <rgbColor rgb="FF008080"/>
      <rgbColor rgb="FF0000FF"/>
      <rgbColor rgb="FF00CCFF"/>
      <rgbColor rgb="FFCCFFFF"/>
      <rgbColor rgb="FFE3F1E4"/>
      <rgbColor rgb="FFFFFF99"/>
      <rgbColor rgb="FF99CCFF"/>
      <rgbColor rgb="FFFF99CC"/>
      <rgbColor rgb="FFCC99FF"/>
      <rgbColor rgb="FFFDE3E3"/>
      <rgbColor rgb="FF3366FF"/>
      <rgbColor rgb="FF33CCCC"/>
      <rgbColor rgb="FF99CC00"/>
      <rgbColor rgb="FFF0B61B"/>
      <rgbColor rgb="FFFF9900"/>
      <rgbColor rgb="FFFF6600"/>
      <rgbColor rgb="FF595959"/>
      <rgbColor rgb="FF969696"/>
      <rgbColor rgb="FF003366"/>
      <rgbColor rgb="FF339966"/>
      <rgbColor rgb="FF003300"/>
      <rgbColor rgb="FF333300"/>
      <rgbColor rgb="FF993300"/>
      <rgbColor rgb="FF993366"/>
      <rgbColor rgb="FF26306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2209320</xdr:colOff>
      <xdr:row>5</xdr:row>
      <xdr:rowOff>66240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211320" y="190440"/>
          <a:ext cx="2209320" cy="119016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F28"/>
  <sheetViews>
    <sheetView showGridLines="0" zoomScaleNormal="100" workbookViewId="0">
      <selection activeCell="B27" sqref="B27"/>
    </sheetView>
  </sheetViews>
  <sheetFormatPr baseColWidth="10" defaultColWidth="8.6640625" defaultRowHeight="14.4" x14ac:dyDescent="0.3"/>
  <cols>
    <col min="1" max="1" width="3" customWidth="1"/>
    <col min="2" max="2" width="34" customWidth="1"/>
    <col min="3" max="3" width="26" customWidth="1"/>
    <col min="4" max="4" width="16" customWidth="1"/>
    <col min="5" max="5" width="13" customWidth="1"/>
    <col min="6" max="6" width="12" customWidth="1"/>
    <col min="7" max="7" width="3" customWidth="1"/>
  </cols>
  <sheetData>
    <row r="2" spans="2:6" ht="30" customHeight="1" x14ac:dyDescent="0.3"/>
    <row r="3" spans="2:6" ht="19.5" customHeight="1" x14ac:dyDescent="0.3"/>
    <row r="4" spans="2:6" ht="19.5" customHeight="1" x14ac:dyDescent="0.3"/>
    <row r="5" spans="2:6" ht="19.5" customHeight="1" x14ac:dyDescent="0.3"/>
    <row r="6" spans="2:6" ht="19.5" customHeight="1" x14ac:dyDescent="0.3"/>
    <row r="7" spans="2:6" ht="19.5" customHeight="1" x14ac:dyDescent="0.3"/>
    <row r="9" spans="2:6" x14ac:dyDescent="0.3">
      <c r="B9" s="3"/>
    </row>
    <row r="10" spans="2:6" ht="25.5" customHeight="1" x14ac:dyDescent="0.3">
      <c r="B10" s="36" t="s">
        <v>158</v>
      </c>
      <c r="C10" s="30"/>
      <c r="D10" s="30"/>
      <c r="E10" s="30"/>
      <c r="F10" s="30"/>
    </row>
    <row r="11" spans="2:6" x14ac:dyDescent="0.3">
      <c r="B11" s="37" t="s">
        <v>159</v>
      </c>
      <c r="C11" s="30"/>
      <c r="D11" s="30"/>
      <c r="E11" s="30"/>
      <c r="F11" s="30"/>
    </row>
    <row r="12" spans="2:6" ht="7.5" customHeight="1" x14ac:dyDescent="0.3"/>
    <row r="13" spans="2:6" ht="18" customHeight="1" x14ac:dyDescent="0.3">
      <c r="B13" s="35" t="s">
        <v>160</v>
      </c>
      <c r="C13" s="30"/>
      <c r="D13" s="30"/>
      <c r="E13" s="30"/>
      <c r="F13" s="30"/>
    </row>
    <row r="14" spans="2:6" ht="27" customHeight="1" x14ac:dyDescent="0.3">
      <c r="B14" s="4" t="s">
        <v>161</v>
      </c>
      <c r="C14" s="31" t="s">
        <v>162</v>
      </c>
      <c r="D14" s="32"/>
      <c r="E14" s="32"/>
      <c r="F14" s="33"/>
    </row>
    <row r="15" spans="2:6" ht="27.75" customHeight="1" x14ac:dyDescent="0.3">
      <c r="B15" s="4" t="s">
        <v>163</v>
      </c>
      <c r="C15" s="31" t="s">
        <v>164</v>
      </c>
      <c r="D15" s="32"/>
      <c r="E15" s="32"/>
      <c r="F15" s="33"/>
    </row>
    <row r="16" spans="2:6" ht="18" customHeight="1" x14ac:dyDescent="0.3">
      <c r="B16" s="4" t="s">
        <v>165</v>
      </c>
      <c r="C16" s="31" t="s">
        <v>166</v>
      </c>
      <c r="D16" s="32"/>
      <c r="E16" s="32"/>
      <c r="F16" s="33"/>
    </row>
    <row r="17" spans="2:6" ht="18" customHeight="1" x14ac:dyDescent="0.3">
      <c r="B17" s="4" t="s">
        <v>167</v>
      </c>
      <c r="C17" s="31" t="s">
        <v>166</v>
      </c>
      <c r="D17" s="32"/>
      <c r="E17" s="32"/>
      <c r="F17" s="33"/>
    </row>
    <row r="18" spans="2:6" ht="18" customHeight="1" x14ac:dyDescent="0.3">
      <c r="B18" s="4" t="s">
        <v>168</v>
      </c>
      <c r="C18" s="31" t="s">
        <v>169</v>
      </c>
      <c r="D18" s="32"/>
      <c r="E18" s="32"/>
      <c r="F18" s="33"/>
    </row>
    <row r="19" spans="2:6" ht="18" customHeight="1" x14ac:dyDescent="0.3">
      <c r="B19" s="4" t="s">
        <v>170</v>
      </c>
      <c r="C19" s="34">
        <v>46265</v>
      </c>
      <c r="D19" s="32"/>
      <c r="E19" s="32"/>
      <c r="F19" s="33"/>
    </row>
    <row r="20" spans="2:6" ht="7.5" customHeight="1" x14ac:dyDescent="0.3"/>
    <row r="21" spans="2:6" ht="18" customHeight="1" x14ac:dyDescent="0.3">
      <c r="B21" s="35" t="s">
        <v>171</v>
      </c>
      <c r="C21" s="30"/>
      <c r="D21" s="30"/>
      <c r="E21" s="30"/>
      <c r="F21" s="30"/>
    </row>
    <row r="22" spans="2:6" ht="18" customHeight="1" x14ac:dyDescent="0.3">
      <c r="B22" s="5" t="s">
        <v>172</v>
      </c>
      <c r="C22" s="6">
        <f>COUNTIF(RF!$A$7:$A$107,"?*")</f>
        <v>53</v>
      </c>
      <c r="D22" s="30"/>
      <c r="E22" s="30"/>
      <c r="F22" s="30"/>
    </row>
    <row r="23" spans="2:6" ht="18" customHeight="1" x14ac:dyDescent="0.3">
      <c r="B23" s="5" t="s">
        <v>173</v>
      </c>
      <c r="C23" s="6">
        <f>COUNTIF(RNF!$A$7:$A$107,"?*")</f>
        <v>30</v>
      </c>
      <c r="D23" s="30"/>
      <c r="E23" s="30"/>
      <c r="F23" s="30"/>
    </row>
    <row r="24" spans="2:6" ht="18" customHeight="1" x14ac:dyDescent="0.3">
      <c r="B24" s="5" t="s">
        <v>174</v>
      </c>
      <c r="C24" s="6">
        <f>COUNTIF(Historias_Usuario!$A$7:$A$107,"?*")</f>
        <v>21</v>
      </c>
      <c r="D24" s="30"/>
      <c r="E24" s="30"/>
      <c r="F24" s="30"/>
    </row>
    <row r="25" spans="2:6" ht="18" customHeight="1" x14ac:dyDescent="0.3">
      <c r="B25" s="5" t="s">
        <v>0</v>
      </c>
      <c r="C25" s="6">
        <f>COUNTIF(Criterios_Gherkin!$B$7:$B$206,"?*")</f>
        <v>42</v>
      </c>
      <c r="D25" s="30"/>
      <c r="E25" s="30"/>
      <c r="F25" s="30"/>
    </row>
    <row r="26" spans="2:6" ht="9.75" customHeight="1" x14ac:dyDescent="0.3"/>
    <row r="27" spans="2:6" x14ac:dyDescent="0.3">
      <c r="B27" s="7" t="s">
        <v>175</v>
      </c>
    </row>
    <row r="28" spans="2:6" x14ac:dyDescent="0.3">
      <c r="B28" s="8"/>
    </row>
  </sheetData>
  <mergeCells count="14">
    <mergeCell ref="B10:F10"/>
    <mergeCell ref="B11:F11"/>
    <mergeCell ref="D22:F22"/>
    <mergeCell ref="C16:F16"/>
    <mergeCell ref="D25:F25"/>
    <mergeCell ref="C15:F15"/>
    <mergeCell ref="C19:F19"/>
    <mergeCell ref="B13:F13"/>
    <mergeCell ref="C14:F14"/>
    <mergeCell ref="D24:F24"/>
    <mergeCell ref="B21:F21"/>
    <mergeCell ref="C18:F18"/>
    <mergeCell ref="C17:F17"/>
    <mergeCell ref="D23:F23"/>
  </mergeCells>
  <pageMargins left="0.75" right="0.75" top="1" bottom="1" header="0.511811023622047" footer="0.5"/>
  <pageSetup orientation="portrait" horizontalDpi="300" verticalDpi="300"/>
  <headerFooter>
    <oddFooter>&amp;L&amp;"Tahoma,Regular"&amp;7 Portada&amp;C&amp;"Tahoma,Regular"&amp;7 Universidad Católica de Colombia · Facultad de Ingeniería · Vigilada Mineducación&amp;R&amp;"Tahoma,Regular"&amp;7 Página &amp;P de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47"/>
  <sheetViews>
    <sheetView showGridLines="0" zoomScaleNormal="100" workbookViewId="0">
      <selection sqref="A1:D1"/>
    </sheetView>
  </sheetViews>
  <sheetFormatPr baseColWidth="10" defaultColWidth="8.6640625" defaultRowHeight="14.4" x14ac:dyDescent="0.3"/>
  <cols>
    <col min="1" max="1" width="3" customWidth="1"/>
    <col min="2" max="2" width="28" customWidth="1"/>
    <col min="3" max="3" width="62" customWidth="1"/>
    <col min="4" max="4" width="46" customWidth="1"/>
  </cols>
  <sheetData>
    <row r="1" spans="1:4" ht="25.5" customHeight="1" x14ac:dyDescent="0.3">
      <c r="A1" s="38" t="s">
        <v>176</v>
      </c>
      <c r="B1" s="30"/>
      <c r="C1" s="30"/>
      <c r="D1" s="30"/>
    </row>
    <row r="2" spans="1:4" ht="15" customHeight="1" x14ac:dyDescent="0.3">
      <c r="A2" s="40" t="s">
        <v>177</v>
      </c>
      <c r="B2" s="30"/>
      <c r="C2" s="30"/>
      <c r="D2" s="30"/>
    </row>
    <row r="4" spans="1:4" ht="6" customHeight="1" x14ac:dyDescent="0.3"/>
    <row r="5" spans="1:4" ht="18" customHeight="1" x14ac:dyDescent="0.3">
      <c r="B5" s="35" t="s">
        <v>178</v>
      </c>
      <c r="C5" s="30"/>
      <c r="D5" s="30"/>
    </row>
    <row r="6" spans="1:4" ht="15.75" customHeight="1" x14ac:dyDescent="0.3">
      <c r="B6" s="9" t="s">
        <v>179</v>
      </c>
      <c r="C6" s="9" t="s">
        <v>180</v>
      </c>
      <c r="D6" s="9" t="s">
        <v>181</v>
      </c>
    </row>
    <row r="7" spans="1:4" ht="24" customHeight="1" x14ac:dyDescent="0.3">
      <c r="B7" s="10" t="s">
        <v>182</v>
      </c>
      <c r="C7" s="11" t="s">
        <v>183</v>
      </c>
      <c r="D7" s="11" t="s">
        <v>184</v>
      </c>
    </row>
    <row r="8" spans="1:4" ht="24" customHeight="1" x14ac:dyDescent="0.3">
      <c r="B8" s="10" t="s">
        <v>185</v>
      </c>
      <c r="C8" s="11" t="s">
        <v>186</v>
      </c>
      <c r="D8" s="11" t="s">
        <v>187</v>
      </c>
    </row>
    <row r="9" spans="1:4" ht="24" customHeight="1" x14ac:dyDescent="0.3">
      <c r="B9" s="10" t="s">
        <v>188</v>
      </c>
      <c r="C9" s="11" t="s">
        <v>189</v>
      </c>
      <c r="D9" s="11" t="s">
        <v>190</v>
      </c>
    </row>
    <row r="10" spans="1:4" ht="24" customHeight="1" x14ac:dyDescent="0.3">
      <c r="B10" s="10" t="s">
        <v>191</v>
      </c>
      <c r="C10" s="11" t="s">
        <v>192</v>
      </c>
      <c r="D10" s="11" t="s">
        <v>193</v>
      </c>
    </row>
    <row r="11" spans="1:4" ht="24" customHeight="1" x14ac:dyDescent="0.3">
      <c r="B11" s="10" t="s">
        <v>194</v>
      </c>
      <c r="C11" s="11" t="s">
        <v>195</v>
      </c>
      <c r="D11" s="11" t="s">
        <v>196</v>
      </c>
    </row>
    <row r="12" spans="1:4" ht="24" customHeight="1" x14ac:dyDescent="0.3">
      <c r="B12" s="10" t="s">
        <v>197</v>
      </c>
      <c r="C12" s="11" t="s">
        <v>198</v>
      </c>
      <c r="D12" s="11" t="s">
        <v>196</v>
      </c>
    </row>
    <row r="13" spans="1:4" ht="24" customHeight="1" x14ac:dyDescent="0.3">
      <c r="B13" s="10" t="s">
        <v>199</v>
      </c>
      <c r="C13" s="11" t="s">
        <v>200</v>
      </c>
      <c r="D13" s="11" t="s">
        <v>201</v>
      </c>
    </row>
    <row r="14" spans="1:4" ht="24" customHeight="1" x14ac:dyDescent="0.3">
      <c r="B14" s="10" t="s">
        <v>202</v>
      </c>
      <c r="C14" s="11" t="s">
        <v>203</v>
      </c>
      <c r="D14" s="11" t="s">
        <v>204</v>
      </c>
    </row>
    <row r="15" spans="1:4" ht="24" customHeight="1" x14ac:dyDescent="0.3">
      <c r="B15" s="10" t="s">
        <v>205</v>
      </c>
      <c r="C15" s="11" t="s">
        <v>206</v>
      </c>
      <c r="D15" s="11" t="s">
        <v>207</v>
      </c>
    </row>
    <row r="16" spans="1:4" ht="24" customHeight="1" x14ac:dyDescent="0.3">
      <c r="B16" s="10" t="s">
        <v>208</v>
      </c>
      <c r="C16" s="11" t="s">
        <v>209</v>
      </c>
      <c r="D16" s="11" t="s">
        <v>210</v>
      </c>
    </row>
    <row r="18" spans="2:4" ht="18" customHeight="1" x14ac:dyDescent="0.3">
      <c r="B18" s="35" t="s">
        <v>211</v>
      </c>
      <c r="C18" s="30"/>
      <c r="D18" s="30"/>
    </row>
    <row r="19" spans="2:4" ht="15.75" customHeight="1" x14ac:dyDescent="0.3">
      <c r="B19" s="9" t="s">
        <v>212</v>
      </c>
      <c r="C19" s="9" t="s">
        <v>213</v>
      </c>
      <c r="D19" s="9" t="s">
        <v>214</v>
      </c>
    </row>
    <row r="20" spans="2:4" ht="18" customHeight="1" x14ac:dyDescent="0.3">
      <c r="B20" s="12" t="s">
        <v>215</v>
      </c>
      <c r="C20" s="11" t="s">
        <v>216</v>
      </c>
      <c r="D20" s="11" t="s">
        <v>217</v>
      </c>
    </row>
    <row r="21" spans="2:4" ht="18" customHeight="1" x14ac:dyDescent="0.3">
      <c r="B21" s="1" t="s">
        <v>218</v>
      </c>
      <c r="C21" s="11" t="s">
        <v>219</v>
      </c>
      <c r="D21" s="11" t="s">
        <v>220</v>
      </c>
    </row>
    <row r="22" spans="2:4" ht="18" customHeight="1" x14ac:dyDescent="0.3">
      <c r="B22" s="13" t="s">
        <v>221</v>
      </c>
      <c r="C22" s="11" t="s">
        <v>222</v>
      </c>
      <c r="D22" s="11" t="s">
        <v>223</v>
      </c>
    </row>
    <row r="24" spans="2:4" ht="18" customHeight="1" x14ac:dyDescent="0.3">
      <c r="B24" s="35" t="s">
        <v>224</v>
      </c>
      <c r="C24" s="30"/>
      <c r="D24" s="30"/>
    </row>
    <row r="25" spans="2:4" ht="15.75" customHeight="1" x14ac:dyDescent="0.3">
      <c r="B25" s="9" t="s">
        <v>225</v>
      </c>
      <c r="C25" s="9" t="s">
        <v>226</v>
      </c>
      <c r="D25" s="9" t="s">
        <v>227</v>
      </c>
    </row>
    <row r="26" spans="2:4" ht="25.5" customHeight="1" x14ac:dyDescent="0.3">
      <c r="B26" s="10" t="s">
        <v>228</v>
      </c>
      <c r="C26" s="11" t="s">
        <v>229</v>
      </c>
      <c r="D26" s="11" t="s">
        <v>230</v>
      </c>
    </row>
    <row r="27" spans="2:4" ht="25.5" customHeight="1" x14ac:dyDescent="0.3">
      <c r="B27" s="10" t="s">
        <v>231</v>
      </c>
      <c r="C27" s="11" t="s">
        <v>232</v>
      </c>
      <c r="D27" s="11" t="s">
        <v>233</v>
      </c>
    </row>
    <row r="28" spans="2:4" ht="25.5" customHeight="1" x14ac:dyDescent="0.3">
      <c r="B28" s="10" t="s">
        <v>234</v>
      </c>
      <c r="C28" s="11" t="s">
        <v>235</v>
      </c>
      <c r="D28" s="11" t="s">
        <v>236</v>
      </c>
    </row>
    <row r="29" spans="2:4" ht="25.5" customHeight="1" x14ac:dyDescent="0.3">
      <c r="B29" s="10" t="s">
        <v>237</v>
      </c>
      <c r="C29" s="11" t="s">
        <v>238</v>
      </c>
      <c r="D29" s="11" t="s">
        <v>239</v>
      </c>
    </row>
    <row r="30" spans="2:4" ht="25.5" customHeight="1" x14ac:dyDescent="0.3">
      <c r="B30" s="10" t="s">
        <v>240</v>
      </c>
      <c r="C30" s="11" t="s">
        <v>241</v>
      </c>
      <c r="D30" s="11" t="s">
        <v>242</v>
      </c>
    </row>
    <row r="31" spans="2:4" ht="25.5" customHeight="1" x14ac:dyDescent="0.3">
      <c r="B31" s="10" t="s">
        <v>243</v>
      </c>
      <c r="C31" s="11" t="s">
        <v>244</v>
      </c>
      <c r="D31" s="11" t="s">
        <v>245</v>
      </c>
    </row>
    <row r="33" spans="2:4" ht="18" customHeight="1" x14ac:dyDescent="0.3">
      <c r="B33" s="35" t="s">
        <v>246</v>
      </c>
      <c r="C33" s="30"/>
      <c r="D33" s="30"/>
    </row>
    <row r="34" spans="2:4" ht="15.75" customHeight="1" x14ac:dyDescent="0.3">
      <c r="B34" s="9" t="s">
        <v>247</v>
      </c>
      <c r="C34" s="9" t="s">
        <v>248</v>
      </c>
      <c r="D34" s="9" t="s">
        <v>249</v>
      </c>
    </row>
    <row r="35" spans="2:4" ht="24" customHeight="1" x14ac:dyDescent="0.3">
      <c r="B35" s="10" t="s">
        <v>250</v>
      </c>
      <c r="C35" s="11" t="s">
        <v>251</v>
      </c>
      <c r="D35" s="11" t="s">
        <v>252</v>
      </c>
    </row>
    <row r="36" spans="2:4" ht="24" customHeight="1" x14ac:dyDescent="0.3">
      <c r="B36" s="10" t="s">
        <v>253</v>
      </c>
      <c r="C36" s="11" t="s">
        <v>254</v>
      </c>
      <c r="D36" s="11" t="s">
        <v>255</v>
      </c>
    </row>
    <row r="37" spans="2:4" ht="24" customHeight="1" x14ac:dyDescent="0.3">
      <c r="B37" s="10" t="s">
        <v>256</v>
      </c>
      <c r="C37" s="11" t="s">
        <v>257</v>
      </c>
      <c r="D37" s="11" t="s">
        <v>258</v>
      </c>
    </row>
    <row r="38" spans="2:4" ht="24" customHeight="1" x14ac:dyDescent="0.3">
      <c r="B38" s="10" t="s">
        <v>259</v>
      </c>
      <c r="C38" s="11" t="s">
        <v>260</v>
      </c>
      <c r="D38" s="11" t="s">
        <v>261</v>
      </c>
    </row>
    <row r="39" spans="2:4" ht="24" customHeight="1" x14ac:dyDescent="0.3">
      <c r="B39" s="10" t="s">
        <v>262</v>
      </c>
      <c r="C39" s="11" t="s">
        <v>263</v>
      </c>
      <c r="D39" s="11" t="s">
        <v>264</v>
      </c>
    </row>
    <row r="40" spans="2:4" ht="24" customHeight="1" x14ac:dyDescent="0.3">
      <c r="B40" s="10" t="s">
        <v>265</v>
      </c>
      <c r="C40" s="11" t="s">
        <v>266</v>
      </c>
      <c r="D40" s="11" t="s">
        <v>267</v>
      </c>
    </row>
    <row r="41" spans="2:4" ht="24" customHeight="1" x14ac:dyDescent="0.3">
      <c r="B41" s="10" t="s">
        <v>268</v>
      </c>
      <c r="C41" s="11" t="s">
        <v>269</v>
      </c>
      <c r="D41" s="11" t="s">
        <v>270</v>
      </c>
    </row>
    <row r="42" spans="2:4" ht="24" customHeight="1" x14ac:dyDescent="0.3">
      <c r="B42" s="10" t="s">
        <v>271</v>
      </c>
      <c r="C42" s="11" t="s">
        <v>272</v>
      </c>
      <c r="D42" s="11" t="s">
        <v>273</v>
      </c>
    </row>
    <row r="43" spans="2:4" ht="24" customHeight="1" x14ac:dyDescent="0.3">
      <c r="B43" s="10" t="s">
        <v>274</v>
      </c>
      <c r="C43" s="11" t="s">
        <v>275</v>
      </c>
      <c r="D43" s="11" t="s">
        <v>276</v>
      </c>
    </row>
    <row r="45" spans="2:4" ht="18" customHeight="1" x14ac:dyDescent="0.3">
      <c r="B45" s="35" t="s">
        <v>277</v>
      </c>
      <c r="C45" s="30"/>
      <c r="D45" s="30"/>
    </row>
    <row r="46" spans="2:4" ht="15.75" customHeight="1" x14ac:dyDescent="0.3">
      <c r="B46" s="39" t="s">
        <v>278</v>
      </c>
      <c r="C46" s="30"/>
      <c r="D46" s="30"/>
    </row>
    <row r="47" spans="2:4" ht="15.75" customHeight="1" x14ac:dyDescent="0.3">
      <c r="B47" s="39" t="s">
        <v>279</v>
      </c>
      <c r="C47" s="30"/>
      <c r="D47" s="30"/>
    </row>
  </sheetData>
  <mergeCells count="9">
    <mergeCell ref="B33:D33"/>
    <mergeCell ref="A1:D1"/>
    <mergeCell ref="B47:D47"/>
    <mergeCell ref="B5:D5"/>
    <mergeCell ref="B45:D45"/>
    <mergeCell ref="B46:D46"/>
    <mergeCell ref="B18:D18"/>
    <mergeCell ref="A2:D2"/>
    <mergeCell ref="B24:D24"/>
  </mergeCells>
  <pageMargins left="0.75" right="0.75" top="1" bottom="1" header="0.511811023622047" footer="0.5"/>
  <pageSetup fitToHeight="0" orientation="portrait" horizontalDpi="300" verticalDpi="300"/>
  <headerFooter>
    <oddFooter>&amp;L&amp;"Tahoma,Regular"&amp;7 Instrucciones de uso&amp;C&amp;"Tahoma,Regular"&amp;7 Universidad Católica de Colombia · Facultad de Ingeniería · Vigilada Mineducación&amp;R&amp;"Tahoma,Regular"&amp;7 Página &amp;P de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S107"/>
  <sheetViews>
    <sheetView showGridLines="0" zoomScaleNormal="100" workbookViewId="0">
      <pane xSplit="1" ySplit="6" topLeftCell="D47" activePane="bottomRight" state="frozen"/>
      <selection pane="topRight" activeCell="B1" sqref="B1"/>
      <selection pane="bottomLeft" activeCell="A7" sqref="A7"/>
      <selection pane="bottomRight" activeCell="H55" sqref="H55"/>
    </sheetView>
  </sheetViews>
  <sheetFormatPr baseColWidth="10" defaultColWidth="8.6640625" defaultRowHeight="14.4" x14ac:dyDescent="0.3"/>
  <cols>
    <col min="1" max="1" width="14" customWidth="1"/>
    <col min="2" max="2" width="30" customWidth="1"/>
    <col min="3" max="3" width="9" customWidth="1"/>
    <col min="4" max="4" width="15" customWidth="1"/>
    <col min="5" max="5" width="22" customWidth="1"/>
    <col min="6" max="6" width="42" customWidth="1"/>
    <col min="7" max="7" width="24" customWidth="1"/>
    <col min="8" max="8" width="38" customWidth="1"/>
    <col min="9" max="9" width="17" customWidth="1"/>
    <col min="10" max="10" width="12" customWidth="1"/>
    <col min="11" max="11" width="14" customWidth="1"/>
    <col min="12" max="12" width="32" customWidth="1"/>
    <col min="13" max="13" width="26" customWidth="1"/>
    <col min="14" max="14" width="48.77734375" customWidth="1"/>
    <col min="15" max="15" width="42" customWidth="1"/>
    <col min="16" max="16" width="48" customWidth="1"/>
    <col min="17" max="17" width="22" customWidth="1"/>
    <col min="18" max="18" width="20" customWidth="1"/>
    <col min="19" max="19" width="30" customWidth="1"/>
  </cols>
  <sheetData>
    <row r="1" spans="1:19" ht="25.5" customHeight="1" x14ac:dyDescent="0.3">
      <c r="A1" s="38" t="s">
        <v>172</v>
      </c>
      <c r="B1" s="30"/>
      <c r="C1" s="30"/>
      <c r="D1" s="30"/>
      <c r="E1" s="30"/>
      <c r="F1" s="30"/>
      <c r="G1" s="30"/>
      <c r="H1" s="30"/>
      <c r="I1" s="30"/>
      <c r="J1" s="30"/>
      <c r="K1" s="30"/>
      <c r="L1" s="30"/>
      <c r="M1" s="30"/>
      <c r="N1" s="30"/>
      <c r="O1" s="30"/>
      <c r="P1" s="30"/>
      <c r="Q1" s="30"/>
      <c r="R1" s="30"/>
      <c r="S1" s="30"/>
    </row>
    <row r="2" spans="1:19" ht="15" customHeight="1" x14ac:dyDescent="0.3">
      <c r="A2" s="40" t="s">
        <v>280</v>
      </c>
      <c r="B2" s="30"/>
      <c r="C2" s="30"/>
      <c r="D2" s="30"/>
      <c r="E2" s="30"/>
      <c r="F2" s="30"/>
      <c r="G2" s="30"/>
      <c r="H2" s="30"/>
      <c r="I2" s="30"/>
      <c r="J2" s="30"/>
      <c r="K2" s="30"/>
      <c r="L2" s="30"/>
      <c r="M2" s="30"/>
      <c r="N2" s="30"/>
      <c r="O2" s="30"/>
      <c r="P2" s="30"/>
      <c r="Q2" s="30"/>
      <c r="R2" s="30"/>
      <c r="S2" s="30"/>
    </row>
    <row r="3" spans="1:19" ht="15.75" customHeight="1" x14ac:dyDescent="0.3">
      <c r="A3" s="42" t="s">
        <v>281</v>
      </c>
      <c r="B3" s="30"/>
      <c r="C3" s="30"/>
      <c r="D3" s="30"/>
      <c r="E3" s="30"/>
      <c r="F3" s="30"/>
      <c r="G3" s="30"/>
      <c r="H3" s="30"/>
      <c r="I3" s="30"/>
      <c r="J3" s="30"/>
      <c r="K3" s="30"/>
      <c r="L3" s="30"/>
      <c r="M3" s="30"/>
      <c r="N3" s="30"/>
      <c r="O3" s="30"/>
      <c r="P3" s="30"/>
      <c r="Q3" s="30"/>
      <c r="R3" s="30"/>
      <c r="S3" s="30"/>
    </row>
    <row r="4" spans="1:19" ht="6" customHeight="1" x14ac:dyDescent="0.3"/>
    <row r="5" spans="1:19" ht="18" customHeight="1" x14ac:dyDescent="0.3">
      <c r="A5" s="41" t="s">
        <v>3</v>
      </c>
      <c r="B5" s="32"/>
      <c r="C5" s="32"/>
      <c r="D5" s="32"/>
      <c r="E5" s="33"/>
      <c r="F5" s="41" t="s">
        <v>282</v>
      </c>
      <c r="G5" s="32"/>
      <c r="H5" s="33"/>
      <c r="I5" s="41" t="s">
        <v>283</v>
      </c>
      <c r="J5" s="32"/>
      <c r="K5" s="33"/>
      <c r="L5" s="41" t="s">
        <v>284</v>
      </c>
      <c r="M5" s="32"/>
      <c r="N5" s="32"/>
      <c r="O5" s="32"/>
      <c r="P5" s="33"/>
      <c r="Q5" s="41" t="s">
        <v>285</v>
      </c>
      <c r="R5" s="32"/>
      <c r="S5" s="33"/>
    </row>
    <row r="6" spans="1:19" ht="33.75" customHeight="1" x14ac:dyDescent="0.3">
      <c r="A6" s="14" t="s">
        <v>286</v>
      </c>
      <c r="B6" s="14" t="s">
        <v>287</v>
      </c>
      <c r="C6" s="14" t="s">
        <v>288</v>
      </c>
      <c r="D6" s="14" t="s">
        <v>289</v>
      </c>
      <c r="E6" s="14" t="s">
        <v>290</v>
      </c>
      <c r="F6" s="14" t="s">
        <v>291</v>
      </c>
      <c r="G6" s="14" t="s">
        <v>292</v>
      </c>
      <c r="H6" s="14" t="s">
        <v>293</v>
      </c>
      <c r="I6" s="14" t="s">
        <v>294</v>
      </c>
      <c r="J6" s="14" t="s">
        <v>295</v>
      </c>
      <c r="K6" s="14" t="s">
        <v>296</v>
      </c>
      <c r="L6" s="14" t="s">
        <v>297</v>
      </c>
      <c r="M6" s="14" t="s">
        <v>298</v>
      </c>
      <c r="N6" s="14" t="s">
        <v>299</v>
      </c>
      <c r="O6" s="14" t="s">
        <v>300</v>
      </c>
      <c r="P6" s="14" t="s">
        <v>301</v>
      </c>
      <c r="Q6" s="14" t="s">
        <v>302</v>
      </c>
      <c r="R6" s="14" t="s">
        <v>303</v>
      </c>
      <c r="S6" s="14" t="s">
        <v>304</v>
      </c>
    </row>
    <row r="7" spans="1:19" ht="45.6" x14ac:dyDescent="0.3">
      <c r="A7" s="18" t="s">
        <v>305</v>
      </c>
      <c r="B7" s="18" t="s">
        <v>1386</v>
      </c>
      <c r="C7" s="18" t="s">
        <v>169</v>
      </c>
      <c r="D7" s="19">
        <v>46265</v>
      </c>
      <c r="E7" s="18" t="s">
        <v>166</v>
      </c>
      <c r="F7" s="18" t="s">
        <v>1409</v>
      </c>
      <c r="G7" s="18" t="s">
        <v>306</v>
      </c>
      <c r="H7" s="18" t="s">
        <v>1410</v>
      </c>
      <c r="I7" s="18" t="s">
        <v>308</v>
      </c>
      <c r="J7" s="18" t="s">
        <v>309</v>
      </c>
      <c r="K7" s="18" t="s">
        <v>310</v>
      </c>
      <c r="L7" s="18" t="s">
        <v>311</v>
      </c>
      <c r="M7" s="18" t="s">
        <v>312</v>
      </c>
      <c r="N7" s="18" t="s">
        <v>1388</v>
      </c>
      <c r="O7" s="18" t="s">
        <v>1389</v>
      </c>
      <c r="P7" s="18" t="s">
        <v>1411</v>
      </c>
      <c r="Q7" s="18" t="s">
        <v>313</v>
      </c>
      <c r="R7" s="18" t="s">
        <v>314</v>
      </c>
      <c r="S7" s="18" t="s">
        <v>1412</v>
      </c>
    </row>
    <row r="8" spans="1:19" ht="42" customHeight="1" x14ac:dyDescent="0.3">
      <c r="A8" s="18" t="s">
        <v>314</v>
      </c>
      <c r="B8" s="18" t="s">
        <v>315</v>
      </c>
      <c r="C8" s="18" t="s">
        <v>169</v>
      </c>
      <c r="D8" s="19">
        <v>46265</v>
      </c>
      <c r="E8" s="18" t="s">
        <v>166</v>
      </c>
      <c r="F8" s="18" t="s">
        <v>1392</v>
      </c>
      <c r="G8" s="18" t="s">
        <v>306</v>
      </c>
      <c r="H8" s="18" t="s">
        <v>316</v>
      </c>
      <c r="I8" s="18" t="s">
        <v>308</v>
      </c>
      <c r="J8" s="18" t="s">
        <v>309</v>
      </c>
      <c r="K8" s="18" t="s">
        <v>310</v>
      </c>
      <c r="L8" s="18" t="s">
        <v>1413</v>
      </c>
      <c r="M8" s="18" t="s">
        <v>317</v>
      </c>
      <c r="N8" s="18" t="s">
        <v>1394</v>
      </c>
      <c r="O8" s="18" t="s">
        <v>318</v>
      </c>
      <c r="P8" s="18" t="s">
        <v>319</v>
      </c>
      <c r="Q8" s="18" t="s">
        <v>305</v>
      </c>
      <c r="R8" s="18" t="s">
        <v>320</v>
      </c>
      <c r="S8" s="18"/>
    </row>
    <row r="9" spans="1:19" ht="30" customHeight="1" x14ac:dyDescent="0.3">
      <c r="A9" s="18" t="s">
        <v>320</v>
      </c>
      <c r="B9" s="18" t="s">
        <v>321</v>
      </c>
      <c r="C9" s="18" t="s">
        <v>169</v>
      </c>
      <c r="D9" s="19">
        <v>46265</v>
      </c>
      <c r="E9" s="18" t="s">
        <v>166</v>
      </c>
      <c r="F9" s="18" t="s">
        <v>322</v>
      </c>
      <c r="G9" s="18" t="s">
        <v>306</v>
      </c>
      <c r="H9" s="18" t="s">
        <v>323</v>
      </c>
      <c r="I9" s="18" t="s">
        <v>308</v>
      </c>
      <c r="J9" s="18" t="s">
        <v>309</v>
      </c>
      <c r="K9" s="18" t="s">
        <v>310</v>
      </c>
      <c r="L9" s="18" t="s">
        <v>324</v>
      </c>
      <c r="M9" s="18" t="s">
        <v>1414</v>
      </c>
      <c r="N9" s="18" t="s">
        <v>326</v>
      </c>
      <c r="O9" s="18" t="s">
        <v>327</v>
      </c>
      <c r="P9" s="18" t="s">
        <v>328</v>
      </c>
      <c r="Q9" s="18" t="s">
        <v>314</v>
      </c>
      <c r="R9" s="18" t="s">
        <v>329</v>
      </c>
      <c r="S9" s="18" t="s">
        <v>330</v>
      </c>
    </row>
    <row r="10" spans="1:19" ht="30" customHeight="1" x14ac:dyDescent="0.3">
      <c r="A10" s="18" t="s">
        <v>329</v>
      </c>
      <c r="B10" s="18" t="s">
        <v>331</v>
      </c>
      <c r="C10" s="18" t="s">
        <v>169</v>
      </c>
      <c r="D10" s="19">
        <v>46265</v>
      </c>
      <c r="E10" s="18" t="s">
        <v>166</v>
      </c>
      <c r="F10" s="18" t="s">
        <v>332</v>
      </c>
      <c r="G10" s="18" t="s">
        <v>306</v>
      </c>
      <c r="H10" s="18" t="s">
        <v>333</v>
      </c>
      <c r="I10" s="18" t="s">
        <v>308</v>
      </c>
      <c r="J10" s="18" t="s">
        <v>309</v>
      </c>
      <c r="K10" s="18" t="s">
        <v>310</v>
      </c>
      <c r="L10" s="18" t="s">
        <v>334</v>
      </c>
      <c r="M10" s="18" t="s">
        <v>335</v>
      </c>
      <c r="N10" s="18" t="s">
        <v>336</v>
      </c>
      <c r="O10" s="18" t="s">
        <v>337</v>
      </c>
      <c r="P10" s="18" t="s">
        <v>338</v>
      </c>
      <c r="Q10" s="18" t="s">
        <v>320</v>
      </c>
      <c r="R10" s="18" t="s">
        <v>339</v>
      </c>
      <c r="S10" s="18"/>
    </row>
    <row r="11" spans="1:19" ht="69" customHeight="1" x14ac:dyDescent="0.3">
      <c r="A11" s="18" t="s">
        <v>339</v>
      </c>
      <c r="B11" s="18" t="s">
        <v>1395</v>
      </c>
      <c r="C11" s="18" t="s">
        <v>169</v>
      </c>
      <c r="D11" s="19">
        <v>46265</v>
      </c>
      <c r="E11" s="18" t="s">
        <v>166</v>
      </c>
      <c r="F11" s="18" t="s">
        <v>1396</v>
      </c>
      <c r="G11" s="18" t="s">
        <v>306</v>
      </c>
      <c r="H11" s="18" t="s">
        <v>1397</v>
      </c>
      <c r="I11" s="18" t="s">
        <v>308</v>
      </c>
      <c r="J11" s="18" t="s">
        <v>309</v>
      </c>
      <c r="K11" s="18" t="s">
        <v>310</v>
      </c>
      <c r="L11" s="18" t="s">
        <v>340</v>
      </c>
      <c r="M11" s="18" t="s">
        <v>341</v>
      </c>
      <c r="N11" s="18" t="s">
        <v>1415</v>
      </c>
      <c r="O11" s="18" t="s">
        <v>1399</v>
      </c>
      <c r="P11" s="18" t="s">
        <v>1400</v>
      </c>
      <c r="Q11" s="18" t="s">
        <v>329</v>
      </c>
      <c r="R11" s="18" t="s">
        <v>342</v>
      </c>
      <c r="S11" s="18"/>
    </row>
    <row r="12" spans="1:19" ht="42" customHeight="1" x14ac:dyDescent="0.3">
      <c r="A12" s="18" t="s">
        <v>342</v>
      </c>
      <c r="B12" s="18" t="s">
        <v>343</v>
      </c>
      <c r="C12" s="18" t="s">
        <v>169</v>
      </c>
      <c r="D12" s="19">
        <v>46265</v>
      </c>
      <c r="E12" s="18" t="s">
        <v>166</v>
      </c>
      <c r="F12" s="18" t="s">
        <v>344</v>
      </c>
      <c r="G12" s="18" t="s">
        <v>345</v>
      </c>
      <c r="H12" s="18" t="s">
        <v>346</v>
      </c>
      <c r="I12" s="18" t="s">
        <v>347</v>
      </c>
      <c r="J12" s="18" t="s">
        <v>348</v>
      </c>
      <c r="K12" s="18" t="s">
        <v>310</v>
      </c>
      <c r="L12" s="18" t="s">
        <v>349</v>
      </c>
      <c r="M12" s="18" t="s">
        <v>350</v>
      </c>
      <c r="N12" s="18" t="s">
        <v>1416</v>
      </c>
      <c r="O12" s="18" t="s">
        <v>352</v>
      </c>
      <c r="P12" s="18" t="s">
        <v>353</v>
      </c>
      <c r="Q12" s="18" t="s">
        <v>339</v>
      </c>
      <c r="R12" s="18" t="s">
        <v>354</v>
      </c>
      <c r="S12" s="18"/>
    </row>
    <row r="13" spans="1:19" ht="45.6" customHeight="1" x14ac:dyDescent="0.3">
      <c r="A13" s="18" t="s">
        <v>355</v>
      </c>
      <c r="B13" s="18" t="s">
        <v>356</v>
      </c>
      <c r="C13" s="18" t="s">
        <v>169</v>
      </c>
      <c r="D13" s="19">
        <v>46265</v>
      </c>
      <c r="E13" s="18" t="s">
        <v>166</v>
      </c>
      <c r="F13" s="18" t="s">
        <v>357</v>
      </c>
      <c r="G13" s="18" t="s">
        <v>306</v>
      </c>
      <c r="H13" s="18" t="s">
        <v>358</v>
      </c>
      <c r="I13" s="18" t="s">
        <v>308</v>
      </c>
      <c r="J13" s="18" t="s">
        <v>309</v>
      </c>
      <c r="K13" s="18" t="s">
        <v>310</v>
      </c>
      <c r="L13" s="18" t="s">
        <v>359</v>
      </c>
      <c r="M13" s="18" t="s">
        <v>360</v>
      </c>
      <c r="N13" s="18" t="s">
        <v>1417</v>
      </c>
      <c r="O13" s="18" t="s">
        <v>362</v>
      </c>
      <c r="P13" s="18" t="s">
        <v>363</v>
      </c>
      <c r="Q13" s="18" t="s">
        <v>313</v>
      </c>
      <c r="R13" s="18" t="s">
        <v>354</v>
      </c>
      <c r="S13" s="18"/>
    </row>
    <row r="14" spans="1:19" ht="30" customHeight="1" x14ac:dyDescent="0.3">
      <c r="A14" s="18" t="s">
        <v>364</v>
      </c>
      <c r="B14" s="18" t="s">
        <v>365</v>
      </c>
      <c r="C14" s="18" t="s">
        <v>169</v>
      </c>
      <c r="D14" s="19">
        <v>46265</v>
      </c>
      <c r="E14" s="18" t="s">
        <v>166</v>
      </c>
      <c r="F14" s="18" t="s">
        <v>366</v>
      </c>
      <c r="G14" s="18" t="s">
        <v>367</v>
      </c>
      <c r="H14" s="18" t="s">
        <v>368</v>
      </c>
      <c r="I14" s="18" t="s">
        <v>308</v>
      </c>
      <c r="J14" s="18" t="s">
        <v>309</v>
      </c>
      <c r="K14" s="18" t="s">
        <v>310</v>
      </c>
      <c r="L14" s="18" t="s">
        <v>369</v>
      </c>
      <c r="M14" s="18" t="s">
        <v>370</v>
      </c>
      <c r="N14" s="18" t="s">
        <v>371</v>
      </c>
      <c r="O14" s="18" t="s">
        <v>372</v>
      </c>
      <c r="P14" s="18" t="s">
        <v>373</v>
      </c>
      <c r="Q14" s="18" t="s">
        <v>339</v>
      </c>
      <c r="R14" s="18" t="s">
        <v>374</v>
      </c>
      <c r="S14" s="18"/>
    </row>
    <row r="15" spans="1:19" ht="30" customHeight="1" x14ac:dyDescent="0.3">
      <c r="A15" s="18" t="s">
        <v>375</v>
      </c>
      <c r="B15" s="18" t="s">
        <v>376</v>
      </c>
      <c r="C15" s="18" t="s">
        <v>169</v>
      </c>
      <c r="D15" s="19">
        <v>46265</v>
      </c>
      <c r="E15" s="18" t="s">
        <v>166</v>
      </c>
      <c r="F15" s="18" t="s">
        <v>377</v>
      </c>
      <c r="G15" s="18" t="s">
        <v>378</v>
      </c>
      <c r="H15" s="18" t="s">
        <v>379</v>
      </c>
      <c r="I15" s="18" t="s">
        <v>308</v>
      </c>
      <c r="J15" s="18" t="s">
        <v>309</v>
      </c>
      <c r="K15" s="18" t="s">
        <v>310</v>
      </c>
      <c r="L15" s="18" t="s">
        <v>380</v>
      </c>
      <c r="M15" s="18" t="s">
        <v>381</v>
      </c>
      <c r="N15" s="18" t="s">
        <v>382</v>
      </c>
      <c r="O15" s="18" t="s">
        <v>383</v>
      </c>
      <c r="P15" s="18" t="s">
        <v>384</v>
      </c>
      <c r="Q15" s="18" t="s">
        <v>364</v>
      </c>
      <c r="R15" s="18" t="s">
        <v>354</v>
      </c>
      <c r="S15" s="18" t="s">
        <v>385</v>
      </c>
    </row>
    <row r="16" spans="1:19" ht="30" customHeight="1" x14ac:dyDescent="0.3">
      <c r="A16" s="18" t="s">
        <v>386</v>
      </c>
      <c r="B16" s="18" t="s">
        <v>387</v>
      </c>
      <c r="C16" s="18" t="s">
        <v>169</v>
      </c>
      <c r="D16" s="19">
        <v>46265</v>
      </c>
      <c r="E16" s="18" t="s">
        <v>166</v>
      </c>
      <c r="F16" s="18" t="s">
        <v>388</v>
      </c>
      <c r="G16" s="18" t="s">
        <v>389</v>
      </c>
      <c r="H16" s="18" t="s">
        <v>390</v>
      </c>
      <c r="I16" s="18" t="s">
        <v>308</v>
      </c>
      <c r="J16" s="18" t="s">
        <v>309</v>
      </c>
      <c r="K16" s="18" t="s">
        <v>310</v>
      </c>
      <c r="L16" s="18" t="s">
        <v>391</v>
      </c>
      <c r="M16" s="18" t="s">
        <v>392</v>
      </c>
      <c r="N16" s="18" t="s">
        <v>393</v>
      </c>
      <c r="O16" s="18" t="s">
        <v>394</v>
      </c>
      <c r="P16" s="18" t="s">
        <v>395</v>
      </c>
      <c r="Q16" s="18" t="s">
        <v>364</v>
      </c>
      <c r="R16" s="18" t="s">
        <v>354</v>
      </c>
      <c r="S16" s="18"/>
    </row>
    <row r="17" spans="1:19" ht="30" customHeight="1" x14ac:dyDescent="0.3">
      <c r="A17" s="18" t="s">
        <v>396</v>
      </c>
      <c r="B17" s="18" t="s">
        <v>397</v>
      </c>
      <c r="C17" s="18" t="s">
        <v>169</v>
      </c>
      <c r="D17" s="19">
        <v>46265</v>
      </c>
      <c r="E17" s="18" t="s">
        <v>166</v>
      </c>
      <c r="F17" s="18" t="s">
        <v>398</v>
      </c>
      <c r="G17" s="18" t="s">
        <v>399</v>
      </c>
      <c r="H17" s="18" t="s">
        <v>400</v>
      </c>
      <c r="I17" s="18" t="s">
        <v>308</v>
      </c>
      <c r="J17" s="18" t="s">
        <v>309</v>
      </c>
      <c r="K17" s="18" t="s">
        <v>310</v>
      </c>
      <c r="L17" s="18" t="s">
        <v>401</v>
      </c>
      <c r="M17" s="18" t="s">
        <v>402</v>
      </c>
      <c r="N17" s="18" t="s">
        <v>403</v>
      </c>
      <c r="O17" s="18" t="s">
        <v>404</v>
      </c>
      <c r="P17" s="18" t="s">
        <v>405</v>
      </c>
      <c r="Q17" s="18" t="s">
        <v>375</v>
      </c>
      <c r="R17" s="18" t="s">
        <v>354</v>
      </c>
      <c r="S17" s="18" t="s">
        <v>406</v>
      </c>
    </row>
    <row r="18" spans="1:19" ht="30" customHeight="1" x14ac:dyDescent="0.3">
      <c r="A18" s="18" t="s">
        <v>407</v>
      </c>
      <c r="B18" s="18" t="s">
        <v>408</v>
      </c>
      <c r="C18" s="18" t="s">
        <v>169</v>
      </c>
      <c r="D18" s="19">
        <v>46265</v>
      </c>
      <c r="E18" s="18" t="s">
        <v>166</v>
      </c>
      <c r="F18" s="18" t="s">
        <v>409</v>
      </c>
      <c r="G18" s="18" t="s">
        <v>410</v>
      </c>
      <c r="H18" s="18" t="s">
        <v>411</v>
      </c>
      <c r="I18" s="18" t="s">
        <v>308</v>
      </c>
      <c r="J18" s="18" t="s">
        <v>309</v>
      </c>
      <c r="K18" s="18" t="s">
        <v>310</v>
      </c>
      <c r="L18" s="18" t="s">
        <v>412</v>
      </c>
      <c r="M18" s="18" t="s">
        <v>413</v>
      </c>
      <c r="N18" s="18" t="s">
        <v>414</v>
      </c>
      <c r="O18" s="18" t="s">
        <v>415</v>
      </c>
      <c r="P18" s="18" t="s">
        <v>416</v>
      </c>
      <c r="Q18" s="18" t="s">
        <v>417</v>
      </c>
      <c r="R18" s="18" t="s">
        <v>418</v>
      </c>
      <c r="S18" s="18"/>
    </row>
    <row r="19" spans="1:19" ht="30" customHeight="1" x14ac:dyDescent="0.3">
      <c r="A19" s="18" t="s">
        <v>418</v>
      </c>
      <c r="B19" s="18" t="s">
        <v>419</v>
      </c>
      <c r="C19" s="18" t="s">
        <v>169</v>
      </c>
      <c r="D19" s="19">
        <v>46265</v>
      </c>
      <c r="E19" s="18" t="s">
        <v>166</v>
      </c>
      <c r="F19" s="18" t="s">
        <v>420</v>
      </c>
      <c r="G19" s="18" t="s">
        <v>421</v>
      </c>
      <c r="H19" s="18" t="s">
        <v>422</v>
      </c>
      <c r="I19" s="18" t="s">
        <v>308</v>
      </c>
      <c r="J19" s="18" t="s">
        <v>309</v>
      </c>
      <c r="K19" s="18" t="s">
        <v>310</v>
      </c>
      <c r="L19" s="18" t="s">
        <v>423</v>
      </c>
      <c r="M19" s="18" t="s">
        <v>424</v>
      </c>
      <c r="N19" s="18" t="s">
        <v>425</v>
      </c>
      <c r="O19" s="18" t="s">
        <v>426</v>
      </c>
      <c r="P19" s="18" t="s">
        <v>427</v>
      </c>
      <c r="Q19" s="18" t="s">
        <v>407</v>
      </c>
      <c r="R19" s="18" t="s">
        <v>428</v>
      </c>
      <c r="S19" s="18"/>
    </row>
    <row r="20" spans="1:19" ht="30" customHeight="1" x14ac:dyDescent="0.3">
      <c r="A20" s="18" t="s">
        <v>428</v>
      </c>
      <c r="B20" s="18" t="s">
        <v>429</v>
      </c>
      <c r="C20" s="18" t="s">
        <v>169</v>
      </c>
      <c r="D20" s="19">
        <v>46265</v>
      </c>
      <c r="E20" s="18" t="s">
        <v>166</v>
      </c>
      <c r="F20" s="18" t="s">
        <v>430</v>
      </c>
      <c r="G20" s="18" t="s">
        <v>389</v>
      </c>
      <c r="H20" s="18" t="s">
        <v>431</v>
      </c>
      <c r="I20" s="18" t="s">
        <v>308</v>
      </c>
      <c r="J20" s="18" t="s">
        <v>309</v>
      </c>
      <c r="K20" s="18" t="s">
        <v>310</v>
      </c>
      <c r="L20" s="18" t="s">
        <v>432</v>
      </c>
      <c r="M20" s="18" t="s">
        <v>433</v>
      </c>
      <c r="N20" s="18" t="s">
        <v>434</v>
      </c>
      <c r="O20" s="18" t="s">
        <v>435</v>
      </c>
      <c r="P20" s="18" t="s">
        <v>436</v>
      </c>
      <c r="Q20" s="18" t="s">
        <v>418</v>
      </c>
      <c r="R20" s="18" t="s">
        <v>437</v>
      </c>
      <c r="S20" s="18" t="s">
        <v>438</v>
      </c>
    </row>
    <row r="21" spans="1:19" ht="30" customHeight="1" x14ac:dyDescent="0.3">
      <c r="A21" s="18" t="s">
        <v>437</v>
      </c>
      <c r="B21" s="18" t="s">
        <v>439</v>
      </c>
      <c r="C21" s="18" t="s">
        <v>169</v>
      </c>
      <c r="D21" s="19">
        <v>46265</v>
      </c>
      <c r="E21" s="18" t="s">
        <v>166</v>
      </c>
      <c r="F21" s="18" t="s">
        <v>440</v>
      </c>
      <c r="G21" s="18" t="s">
        <v>389</v>
      </c>
      <c r="H21" s="18" t="s">
        <v>441</v>
      </c>
      <c r="I21" s="18" t="s">
        <v>308</v>
      </c>
      <c r="J21" s="18" t="s">
        <v>309</v>
      </c>
      <c r="K21" s="18" t="s">
        <v>310</v>
      </c>
      <c r="L21" s="18" t="s">
        <v>442</v>
      </c>
      <c r="M21" s="18" t="s">
        <v>443</v>
      </c>
      <c r="N21" s="18" t="s">
        <v>444</v>
      </c>
      <c r="O21" s="18" t="s">
        <v>445</v>
      </c>
      <c r="P21" s="18" t="s">
        <v>446</v>
      </c>
      <c r="Q21" s="18" t="s">
        <v>428</v>
      </c>
      <c r="R21" s="18" t="s">
        <v>447</v>
      </c>
      <c r="S21" s="18"/>
    </row>
    <row r="22" spans="1:19" ht="30" customHeight="1" x14ac:dyDescent="0.3">
      <c r="A22" s="18" t="s">
        <v>447</v>
      </c>
      <c r="B22" s="18" t="s">
        <v>448</v>
      </c>
      <c r="C22" s="18" t="s">
        <v>169</v>
      </c>
      <c r="D22" s="19">
        <v>46265</v>
      </c>
      <c r="E22" s="18" t="s">
        <v>166</v>
      </c>
      <c r="F22" s="18" t="s">
        <v>449</v>
      </c>
      <c r="G22" s="18" t="s">
        <v>389</v>
      </c>
      <c r="H22" s="18" t="s">
        <v>450</v>
      </c>
      <c r="I22" s="18" t="s">
        <v>308</v>
      </c>
      <c r="J22" s="18" t="s">
        <v>309</v>
      </c>
      <c r="K22" s="18" t="s">
        <v>310</v>
      </c>
      <c r="L22" s="18" t="s">
        <v>451</v>
      </c>
      <c r="M22" s="18" t="s">
        <v>452</v>
      </c>
      <c r="N22" s="18" t="s">
        <v>453</v>
      </c>
      <c r="O22" s="18" t="s">
        <v>454</v>
      </c>
      <c r="P22" s="18" t="s">
        <v>455</v>
      </c>
      <c r="Q22" s="18" t="s">
        <v>437</v>
      </c>
      <c r="R22" s="18" t="s">
        <v>456</v>
      </c>
      <c r="S22" s="18" t="s">
        <v>457</v>
      </c>
    </row>
    <row r="23" spans="1:19" ht="30" customHeight="1" x14ac:dyDescent="0.3">
      <c r="A23" s="18" t="s">
        <v>456</v>
      </c>
      <c r="B23" s="18" t="s">
        <v>458</v>
      </c>
      <c r="C23" s="18" t="s">
        <v>169</v>
      </c>
      <c r="D23" s="19">
        <v>46265</v>
      </c>
      <c r="E23" s="18" t="s">
        <v>166</v>
      </c>
      <c r="F23" s="18" t="s">
        <v>459</v>
      </c>
      <c r="G23" s="18" t="s">
        <v>460</v>
      </c>
      <c r="H23" s="18" t="s">
        <v>461</v>
      </c>
      <c r="I23" s="18" t="s">
        <v>347</v>
      </c>
      <c r="J23" s="18" t="s">
        <v>348</v>
      </c>
      <c r="K23" s="18" t="s">
        <v>310</v>
      </c>
      <c r="L23" s="18" t="s">
        <v>462</v>
      </c>
      <c r="M23" s="18" t="s">
        <v>463</v>
      </c>
      <c r="N23" s="18" t="s">
        <v>464</v>
      </c>
      <c r="O23" s="18" t="s">
        <v>465</v>
      </c>
      <c r="P23" s="18" t="s">
        <v>466</v>
      </c>
      <c r="Q23" s="18" t="s">
        <v>447</v>
      </c>
      <c r="R23" s="18" t="s">
        <v>354</v>
      </c>
      <c r="S23" s="18"/>
    </row>
    <row r="24" spans="1:19" ht="30" customHeight="1" x14ac:dyDescent="0.3">
      <c r="A24" s="18" t="s">
        <v>467</v>
      </c>
      <c r="B24" s="18" t="s">
        <v>468</v>
      </c>
      <c r="C24" s="18" t="s">
        <v>169</v>
      </c>
      <c r="D24" s="19">
        <v>46265</v>
      </c>
      <c r="E24" s="18" t="s">
        <v>166</v>
      </c>
      <c r="F24" s="18" t="s">
        <v>469</v>
      </c>
      <c r="G24" s="18" t="s">
        <v>460</v>
      </c>
      <c r="H24" s="18" t="s">
        <v>470</v>
      </c>
      <c r="I24" s="18" t="s">
        <v>308</v>
      </c>
      <c r="J24" s="18" t="s">
        <v>309</v>
      </c>
      <c r="K24" s="18" t="s">
        <v>310</v>
      </c>
      <c r="L24" s="18" t="s">
        <v>471</v>
      </c>
      <c r="M24" s="18" t="s">
        <v>472</v>
      </c>
      <c r="N24" s="18" t="s">
        <v>473</v>
      </c>
      <c r="O24" s="18" t="s">
        <v>474</v>
      </c>
      <c r="P24" s="18" t="s">
        <v>475</v>
      </c>
      <c r="Q24" s="18" t="s">
        <v>418</v>
      </c>
      <c r="R24" s="18" t="s">
        <v>476</v>
      </c>
      <c r="S24" s="18"/>
    </row>
    <row r="25" spans="1:19" ht="30" customHeight="1" x14ac:dyDescent="0.3">
      <c r="A25" s="18" t="s">
        <v>477</v>
      </c>
      <c r="B25" s="18" t="s">
        <v>478</v>
      </c>
      <c r="C25" s="18" t="s">
        <v>169</v>
      </c>
      <c r="D25" s="19">
        <v>46265</v>
      </c>
      <c r="E25" s="18" t="s">
        <v>166</v>
      </c>
      <c r="F25" s="18" t="s">
        <v>479</v>
      </c>
      <c r="G25" s="18" t="s">
        <v>460</v>
      </c>
      <c r="H25" s="18" t="s">
        <v>480</v>
      </c>
      <c r="I25" s="18" t="s">
        <v>308</v>
      </c>
      <c r="J25" s="18" t="s">
        <v>309</v>
      </c>
      <c r="K25" s="18" t="s">
        <v>310</v>
      </c>
      <c r="L25" s="18" t="s">
        <v>481</v>
      </c>
      <c r="M25" s="18" t="s">
        <v>482</v>
      </c>
      <c r="N25" s="18" t="s">
        <v>483</v>
      </c>
      <c r="O25" s="18" t="s">
        <v>484</v>
      </c>
      <c r="P25" s="18" t="s">
        <v>485</v>
      </c>
      <c r="Q25" s="18" t="s">
        <v>467</v>
      </c>
      <c r="R25" s="18" t="s">
        <v>354</v>
      </c>
      <c r="S25" s="18"/>
    </row>
    <row r="26" spans="1:19" ht="30" customHeight="1" x14ac:dyDescent="0.3">
      <c r="A26" s="18" t="s">
        <v>486</v>
      </c>
      <c r="B26" s="18" t="s">
        <v>487</v>
      </c>
      <c r="C26" s="18" t="s">
        <v>169</v>
      </c>
      <c r="D26" s="19">
        <v>46265</v>
      </c>
      <c r="E26" s="18" t="s">
        <v>166</v>
      </c>
      <c r="F26" s="18" t="s">
        <v>488</v>
      </c>
      <c r="G26" s="18" t="s">
        <v>489</v>
      </c>
      <c r="H26" s="18" t="s">
        <v>490</v>
      </c>
      <c r="I26" s="18" t="s">
        <v>308</v>
      </c>
      <c r="J26" s="18" t="s">
        <v>309</v>
      </c>
      <c r="K26" s="18" t="s">
        <v>310</v>
      </c>
      <c r="L26" s="18" t="s">
        <v>432</v>
      </c>
      <c r="M26" s="18" t="s">
        <v>491</v>
      </c>
      <c r="N26" s="18" t="s">
        <v>492</v>
      </c>
      <c r="O26" s="18" t="s">
        <v>493</v>
      </c>
      <c r="P26" s="18" t="s">
        <v>494</v>
      </c>
      <c r="Q26" s="18" t="s">
        <v>495</v>
      </c>
      <c r="R26" s="18" t="s">
        <v>354</v>
      </c>
      <c r="S26" s="18"/>
    </row>
    <row r="27" spans="1:19" ht="30" customHeight="1" x14ac:dyDescent="0.3">
      <c r="A27" s="18" t="s">
        <v>496</v>
      </c>
      <c r="B27" s="18" t="s">
        <v>497</v>
      </c>
      <c r="C27" s="18" t="s">
        <v>169</v>
      </c>
      <c r="D27" s="19">
        <v>46265</v>
      </c>
      <c r="E27" s="18" t="s">
        <v>166</v>
      </c>
      <c r="F27" s="18" t="s">
        <v>498</v>
      </c>
      <c r="G27" s="18" t="s">
        <v>460</v>
      </c>
      <c r="H27" s="18" t="s">
        <v>499</v>
      </c>
      <c r="I27" s="18" t="s">
        <v>308</v>
      </c>
      <c r="J27" s="18" t="s">
        <v>309</v>
      </c>
      <c r="K27" s="18" t="s">
        <v>310</v>
      </c>
      <c r="L27" s="18" t="s">
        <v>500</v>
      </c>
      <c r="M27" s="18" t="s">
        <v>501</v>
      </c>
      <c r="N27" s="18" t="s">
        <v>502</v>
      </c>
      <c r="O27" s="18" t="s">
        <v>503</v>
      </c>
      <c r="P27" s="18" t="s">
        <v>504</v>
      </c>
      <c r="Q27" s="18" t="s">
        <v>467</v>
      </c>
      <c r="R27" s="18" t="s">
        <v>505</v>
      </c>
      <c r="S27" s="18"/>
    </row>
    <row r="28" spans="1:19" ht="30" customHeight="1" x14ac:dyDescent="0.3">
      <c r="A28" s="18" t="s">
        <v>505</v>
      </c>
      <c r="B28" s="18" t="s">
        <v>506</v>
      </c>
      <c r="C28" s="18" t="s">
        <v>169</v>
      </c>
      <c r="D28" s="19">
        <v>46265</v>
      </c>
      <c r="E28" s="18" t="s">
        <v>166</v>
      </c>
      <c r="F28" s="18" t="s">
        <v>507</v>
      </c>
      <c r="G28" s="18" t="s">
        <v>460</v>
      </c>
      <c r="H28" s="18" t="s">
        <v>508</v>
      </c>
      <c r="I28" s="18" t="s">
        <v>308</v>
      </c>
      <c r="J28" s="18" t="s">
        <v>309</v>
      </c>
      <c r="K28" s="18" t="s">
        <v>509</v>
      </c>
      <c r="L28" s="18" t="s">
        <v>510</v>
      </c>
      <c r="M28" s="18" t="s">
        <v>511</v>
      </c>
      <c r="N28" s="18" t="s">
        <v>512</v>
      </c>
      <c r="O28" s="18" t="s">
        <v>513</v>
      </c>
      <c r="P28" s="18" t="s">
        <v>514</v>
      </c>
      <c r="Q28" s="18" t="s">
        <v>496</v>
      </c>
      <c r="R28" s="18" t="s">
        <v>354</v>
      </c>
      <c r="S28" s="18" t="s">
        <v>515</v>
      </c>
    </row>
    <row r="29" spans="1:19" ht="30" customHeight="1" x14ac:dyDescent="0.3">
      <c r="A29" s="18" t="s">
        <v>516</v>
      </c>
      <c r="B29" s="18" t="s">
        <v>517</v>
      </c>
      <c r="C29" s="18" t="s">
        <v>169</v>
      </c>
      <c r="D29" s="19">
        <v>46265</v>
      </c>
      <c r="E29" s="18" t="s">
        <v>166</v>
      </c>
      <c r="F29" s="18" t="s">
        <v>518</v>
      </c>
      <c r="G29" s="18" t="s">
        <v>519</v>
      </c>
      <c r="H29" s="18" t="s">
        <v>520</v>
      </c>
      <c r="I29" s="18" t="s">
        <v>308</v>
      </c>
      <c r="J29" s="18" t="s">
        <v>309</v>
      </c>
      <c r="K29" s="18" t="s">
        <v>310</v>
      </c>
      <c r="L29" s="18" t="s">
        <v>521</v>
      </c>
      <c r="M29" s="18" t="s">
        <v>522</v>
      </c>
      <c r="N29" s="18" t="s">
        <v>523</v>
      </c>
      <c r="O29" s="18" t="s">
        <v>524</v>
      </c>
      <c r="P29" s="18" t="s">
        <v>525</v>
      </c>
      <c r="Q29" s="18" t="s">
        <v>339</v>
      </c>
      <c r="R29" s="18" t="s">
        <v>526</v>
      </c>
      <c r="S29" s="18"/>
    </row>
    <row r="30" spans="1:19" ht="30" customHeight="1" x14ac:dyDescent="0.3">
      <c r="A30" s="18" t="s">
        <v>526</v>
      </c>
      <c r="B30" s="18" t="s">
        <v>527</v>
      </c>
      <c r="C30" s="18" t="s">
        <v>169</v>
      </c>
      <c r="D30" s="19">
        <v>46265</v>
      </c>
      <c r="E30" s="18" t="s">
        <v>166</v>
      </c>
      <c r="F30" s="18" t="s">
        <v>528</v>
      </c>
      <c r="G30" s="18" t="s">
        <v>529</v>
      </c>
      <c r="H30" s="18" t="s">
        <v>530</v>
      </c>
      <c r="I30" s="18" t="s">
        <v>308</v>
      </c>
      <c r="J30" s="18" t="s">
        <v>309</v>
      </c>
      <c r="K30" s="18" t="s">
        <v>310</v>
      </c>
      <c r="L30" s="18" t="s">
        <v>531</v>
      </c>
      <c r="M30" s="18" t="s">
        <v>532</v>
      </c>
      <c r="N30" s="18" t="s">
        <v>533</v>
      </c>
      <c r="O30" s="18" t="s">
        <v>534</v>
      </c>
      <c r="P30" s="18" t="s">
        <v>535</v>
      </c>
      <c r="Q30" s="18" t="s">
        <v>516</v>
      </c>
      <c r="R30" s="18" t="s">
        <v>536</v>
      </c>
      <c r="S30" s="18"/>
    </row>
    <row r="31" spans="1:19" ht="30" customHeight="1" x14ac:dyDescent="0.3">
      <c r="A31" s="18" t="s">
        <v>536</v>
      </c>
      <c r="B31" s="18" t="s">
        <v>537</v>
      </c>
      <c r="C31" s="18" t="s">
        <v>169</v>
      </c>
      <c r="D31" s="19">
        <v>46265</v>
      </c>
      <c r="E31" s="18" t="s">
        <v>166</v>
      </c>
      <c r="F31" s="18" t="s">
        <v>538</v>
      </c>
      <c r="G31" s="18" t="s">
        <v>529</v>
      </c>
      <c r="H31" s="18" t="s">
        <v>539</v>
      </c>
      <c r="I31" s="18" t="s">
        <v>308</v>
      </c>
      <c r="J31" s="18" t="s">
        <v>309</v>
      </c>
      <c r="K31" s="18" t="s">
        <v>310</v>
      </c>
      <c r="L31" s="18" t="s">
        <v>540</v>
      </c>
      <c r="M31" s="18" t="s">
        <v>541</v>
      </c>
      <c r="N31" s="18" t="s">
        <v>542</v>
      </c>
      <c r="O31" s="18" t="s">
        <v>543</v>
      </c>
      <c r="P31" s="18" t="s">
        <v>544</v>
      </c>
      <c r="Q31" s="18" t="s">
        <v>526</v>
      </c>
      <c r="R31" s="18" t="s">
        <v>545</v>
      </c>
      <c r="S31" s="18"/>
    </row>
    <row r="32" spans="1:19" ht="30" customHeight="1" x14ac:dyDescent="0.3">
      <c r="A32" s="18" t="s">
        <v>545</v>
      </c>
      <c r="B32" s="18" t="s">
        <v>546</v>
      </c>
      <c r="C32" s="18" t="s">
        <v>169</v>
      </c>
      <c r="D32" s="19">
        <v>46265</v>
      </c>
      <c r="E32" s="18" t="s">
        <v>166</v>
      </c>
      <c r="F32" s="18" t="s">
        <v>547</v>
      </c>
      <c r="G32" s="18" t="s">
        <v>529</v>
      </c>
      <c r="H32" s="18" t="s">
        <v>548</v>
      </c>
      <c r="I32" s="18" t="s">
        <v>308</v>
      </c>
      <c r="J32" s="18" t="s">
        <v>309</v>
      </c>
      <c r="K32" s="18" t="s">
        <v>310</v>
      </c>
      <c r="L32" s="18" t="s">
        <v>549</v>
      </c>
      <c r="M32" s="18" t="s">
        <v>550</v>
      </c>
      <c r="N32" s="18" t="s">
        <v>551</v>
      </c>
      <c r="O32" s="18" t="s">
        <v>552</v>
      </c>
      <c r="P32" s="18" t="s">
        <v>553</v>
      </c>
      <c r="Q32" s="18" t="s">
        <v>536</v>
      </c>
      <c r="R32" s="18" t="s">
        <v>554</v>
      </c>
      <c r="S32" s="18"/>
    </row>
    <row r="33" spans="1:19" ht="30" customHeight="1" x14ac:dyDescent="0.3">
      <c r="A33" s="18" t="s">
        <v>554</v>
      </c>
      <c r="B33" s="18" t="s">
        <v>555</v>
      </c>
      <c r="C33" s="18" t="s">
        <v>169</v>
      </c>
      <c r="D33" s="19">
        <v>46265</v>
      </c>
      <c r="E33" s="18" t="s">
        <v>166</v>
      </c>
      <c r="F33" s="18" t="s">
        <v>556</v>
      </c>
      <c r="G33" s="18" t="s">
        <v>306</v>
      </c>
      <c r="H33" s="18" t="s">
        <v>557</v>
      </c>
      <c r="I33" s="18" t="s">
        <v>308</v>
      </c>
      <c r="J33" s="18" t="s">
        <v>309</v>
      </c>
      <c r="K33" s="18" t="s">
        <v>310</v>
      </c>
      <c r="L33" s="18" t="s">
        <v>558</v>
      </c>
      <c r="M33" s="18" t="s">
        <v>559</v>
      </c>
      <c r="N33" s="18" t="s">
        <v>560</v>
      </c>
      <c r="O33" s="18" t="s">
        <v>561</v>
      </c>
      <c r="P33" s="18" t="s">
        <v>562</v>
      </c>
      <c r="Q33" s="18" t="s">
        <v>545</v>
      </c>
      <c r="R33" s="18" t="s">
        <v>354</v>
      </c>
      <c r="S33" s="18"/>
    </row>
    <row r="34" spans="1:19" ht="30" customHeight="1" x14ac:dyDescent="0.3">
      <c r="A34" s="18" t="s">
        <v>563</v>
      </c>
      <c r="B34" s="18" t="s">
        <v>564</v>
      </c>
      <c r="C34" s="18" t="s">
        <v>169</v>
      </c>
      <c r="D34" s="19">
        <v>46265</v>
      </c>
      <c r="E34" s="18" t="s">
        <v>166</v>
      </c>
      <c r="F34" s="18" t="s">
        <v>565</v>
      </c>
      <c r="G34" s="18" t="s">
        <v>529</v>
      </c>
      <c r="H34" s="18" t="s">
        <v>566</v>
      </c>
      <c r="I34" s="18" t="s">
        <v>308</v>
      </c>
      <c r="J34" s="18" t="s">
        <v>309</v>
      </c>
      <c r="K34" s="18" t="s">
        <v>310</v>
      </c>
      <c r="L34" s="18" t="s">
        <v>567</v>
      </c>
      <c r="M34" s="18" t="s">
        <v>568</v>
      </c>
      <c r="N34" s="18" t="s">
        <v>569</v>
      </c>
      <c r="O34" s="18" t="s">
        <v>570</v>
      </c>
      <c r="P34" s="18" t="s">
        <v>571</v>
      </c>
      <c r="Q34" s="18" t="s">
        <v>545</v>
      </c>
      <c r="R34" s="18" t="s">
        <v>572</v>
      </c>
      <c r="S34" s="18"/>
    </row>
    <row r="35" spans="1:19" ht="30" customHeight="1" x14ac:dyDescent="0.3">
      <c r="A35" s="18" t="s">
        <v>572</v>
      </c>
      <c r="B35" s="18" t="s">
        <v>573</v>
      </c>
      <c r="C35" s="18" t="s">
        <v>169</v>
      </c>
      <c r="D35" s="19">
        <v>46265</v>
      </c>
      <c r="E35" s="18" t="s">
        <v>166</v>
      </c>
      <c r="F35" s="18" t="s">
        <v>574</v>
      </c>
      <c r="G35" s="18" t="s">
        <v>529</v>
      </c>
      <c r="H35" s="18" t="s">
        <v>575</v>
      </c>
      <c r="I35" s="18" t="s">
        <v>308</v>
      </c>
      <c r="J35" s="18" t="s">
        <v>309</v>
      </c>
      <c r="K35" s="18" t="s">
        <v>310</v>
      </c>
      <c r="L35" s="18" t="s">
        <v>576</v>
      </c>
      <c r="M35" s="18" t="s">
        <v>577</v>
      </c>
      <c r="N35" s="18" t="s">
        <v>578</v>
      </c>
      <c r="O35" s="18" t="s">
        <v>579</v>
      </c>
      <c r="P35" s="18" t="s">
        <v>580</v>
      </c>
      <c r="Q35" s="18" t="s">
        <v>563</v>
      </c>
      <c r="R35" s="18" t="s">
        <v>581</v>
      </c>
      <c r="S35" s="18"/>
    </row>
    <row r="36" spans="1:19" ht="30" customHeight="1" x14ac:dyDescent="0.3">
      <c r="A36" s="18" t="s">
        <v>581</v>
      </c>
      <c r="B36" s="18" t="s">
        <v>582</v>
      </c>
      <c r="C36" s="18" t="s">
        <v>169</v>
      </c>
      <c r="D36" s="19">
        <v>46265</v>
      </c>
      <c r="E36" s="18" t="s">
        <v>166</v>
      </c>
      <c r="F36" s="18" t="s">
        <v>583</v>
      </c>
      <c r="G36" s="18" t="s">
        <v>529</v>
      </c>
      <c r="H36" s="18" t="s">
        <v>584</v>
      </c>
      <c r="I36" s="18" t="s">
        <v>308</v>
      </c>
      <c r="J36" s="18" t="s">
        <v>309</v>
      </c>
      <c r="K36" s="18" t="s">
        <v>310</v>
      </c>
      <c r="L36" s="18" t="s">
        <v>585</v>
      </c>
      <c r="M36" s="18" t="s">
        <v>424</v>
      </c>
      <c r="N36" s="18" t="s">
        <v>586</v>
      </c>
      <c r="O36" s="18" t="s">
        <v>587</v>
      </c>
      <c r="P36" s="18" t="s">
        <v>588</v>
      </c>
      <c r="Q36" s="18" t="s">
        <v>572</v>
      </c>
      <c r="R36" s="18" t="s">
        <v>589</v>
      </c>
      <c r="S36" s="18"/>
    </row>
    <row r="37" spans="1:19" ht="30" customHeight="1" x14ac:dyDescent="0.3">
      <c r="A37" s="18" t="s">
        <v>589</v>
      </c>
      <c r="B37" s="18" t="s">
        <v>590</v>
      </c>
      <c r="C37" s="18" t="s">
        <v>169</v>
      </c>
      <c r="D37" s="19">
        <v>46265</v>
      </c>
      <c r="E37" s="18" t="s">
        <v>166</v>
      </c>
      <c r="F37" s="18" t="s">
        <v>591</v>
      </c>
      <c r="G37" s="18" t="s">
        <v>529</v>
      </c>
      <c r="H37" s="18" t="s">
        <v>592</v>
      </c>
      <c r="I37" s="18" t="s">
        <v>308</v>
      </c>
      <c r="J37" s="18" t="s">
        <v>309</v>
      </c>
      <c r="K37" s="18" t="s">
        <v>310</v>
      </c>
      <c r="L37" s="18" t="s">
        <v>593</v>
      </c>
      <c r="M37" s="18" t="s">
        <v>594</v>
      </c>
      <c r="N37" s="18" t="s">
        <v>595</v>
      </c>
      <c r="O37" s="18" t="s">
        <v>596</v>
      </c>
      <c r="P37" s="18" t="s">
        <v>597</v>
      </c>
      <c r="Q37" s="18" t="s">
        <v>598</v>
      </c>
      <c r="R37" s="18" t="s">
        <v>599</v>
      </c>
      <c r="S37" s="18"/>
    </row>
    <row r="38" spans="1:19" ht="30" customHeight="1" x14ac:dyDescent="0.3">
      <c r="A38" s="18" t="s">
        <v>599</v>
      </c>
      <c r="B38" s="18" t="s">
        <v>12</v>
      </c>
      <c r="C38" s="18" t="s">
        <v>169</v>
      </c>
      <c r="D38" s="19">
        <v>46265</v>
      </c>
      <c r="E38" s="18" t="s">
        <v>166</v>
      </c>
      <c r="F38" s="18" t="s">
        <v>600</v>
      </c>
      <c r="G38" s="18" t="s">
        <v>529</v>
      </c>
      <c r="H38" s="18" t="s">
        <v>601</v>
      </c>
      <c r="I38" s="18" t="s">
        <v>308</v>
      </c>
      <c r="J38" s="18" t="s">
        <v>309</v>
      </c>
      <c r="K38" s="18" t="s">
        <v>310</v>
      </c>
      <c r="L38" s="18" t="s">
        <v>602</v>
      </c>
      <c r="M38" s="18" t="s">
        <v>603</v>
      </c>
      <c r="N38" s="18" t="s">
        <v>604</v>
      </c>
      <c r="O38" s="18" t="s">
        <v>605</v>
      </c>
      <c r="P38" s="18" t="s">
        <v>606</v>
      </c>
      <c r="Q38" s="18" t="s">
        <v>589</v>
      </c>
      <c r="R38" s="18" t="s">
        <v>607</v>
      </c>
      <c r="S38" s="18"/>
    </row>
    <row r="39" spans="1:19" ht="30" customHeight="1" x14ac:dyDescent="0.3">
      <c r="A39" s="18" t="s">
        <v>608</v>
      </c>
      <c r="B39" s="18" t="s">
        <v>609</v>
      </c>
      <c r="C39" s="18" t="s">
        <v>169</v>
      </c>
      <c r="D39" s="19">
        <v>46265</v>
      </c>
      <c r="E39" s="18" t="s">
        <v>166</v>
      </c>
      <c r="F39" s="18" t="s">
        <v>610</v>
      </c>
      <c r="G39" s="18" t="s">
        <v>529</v>
      </c>
      <c r="H39" s="18" t="s">
        <v>611</v>
      </c>
      <c r="I39" s="18" t="s">
        <v>347</v>
      </c>
      <c r="J39" s="18" t="s">
        <v>348</v>
      </c>
      <c r="K39" s="18" t="s">
        <v>310</v>
      </c>
      <c r="L39" s="18" t="s">
        <v>612</v>
      </c>
      <c r="M39" s="18" t="s">
        <v>613</v>
      </c>
      <c r="N39" s="18" t="s">
        <v>614</v>
      </c>
      <c r="O39" s="18" t="s">
        <v>615</v>
      </c>
      <c r="P39" s="18" t="s">
        <v>616</v>
      </c>
      <c r="Q39" s="18" t="s">
        <v>599</v>
      </c>
      <c r="R39" s="18" t="s">
        <v>354</v>
      </c>
      <c r="S39" s="18"/>
    </row>
    <row r="40" spans="1:19" ht="30" customHeight="1" x14ac:dyDescent="0.3">
      <c r="A40" s="18" t="s">
        <v>617</v>
      </c>
      <c r="B40" s="18" t="s">
        <v>618</v>
      </c>
      <c r="C40" s="18" t="s">
        <v>169</v>
      </c>
      <c r="D40" s="19">
        <v>46265</v>
      </c>
      <c r="E40" s="18" t="s">
        <v>166</v>
      </c>
      <c r="F40" s="18" t="s">
        <v>619</v>
      </c>
      <c r="G40" s="18" t="s">
        <v>620</v>
      </c>
      <c r="H40" s="18" t="s">
        <v>621</v>
      </c>
      <c r="I40" s="18" t="s">
        <v>308</v>
      </c>
      <c r="J40" s="18" t="s">
        <v>309</v>
      </c>
      <c r="K40" s="18" t="s">
        <v>310</v>
      </c>
      <c r="L40" s="18" t="s">
        <v>612</v>
      </c>
      <c r="M40" s="18" t="s">
        <v>622</v>
      </c>
      <c r="N40" s="18" t="s">
        <v>623</v>
      </c>
      <c r="O40" s="18" t="s">
        <v>624</v>
      </c>
      <c r="P40" s="18" t="s">
        <v>625</v>
      </c>
      <c r="Q40" s="18" t="s">
        <v>599</v>
      </c>
      <c r="R40" s="18" t="s">
        <v>354</v>
      </c>
      <c r="S40" s="18"/>
    </row>
    <row r="41" spans="1:19" ht="30" customHeight="1" x14ac:dyDescent="0.3">
      <c r="A41" s="18" t="s">
        <v>626</v>
      </c>
      <c r="B41" s="18" t="s">
        <v>627</v>
      </c>
      <c r="C41" s="18" t="s">
        <v>169</v>
      </c>
      <c r="D41" s="19">
        <v>46265</v>
      </c>
      <c r="E41" s="18" t="s">
        <v>166</v>
      </c>
      <c r="F41" s="18" t="s">
        <v>628</v>
      </c>
      <c r="G41" s="18" t="s">
        <v>529</v>
      </c>
      <c r="H41" s="18" t="s">
        <v>629</v>
      </c>
      <c r="I41" s="18" t="s">
        <v>308</v>
      </c>
      <c r="J41" s="18" t="s">
        <v>309</v>
      </c>
      <c r="K41" s="18" t="s">
        <v>509</v>
      </c>
      <c r="L41" s="18" t="s">
        <v>630</v>
      </c>
      <c r="M41" s="18" t="s">
        <v>631</v>
      </c>
      <c r="N41" s="18" t="s">
        <v>632</v>
      </c>
      <c r="O41" s="18" t="s">
        <v>633</v>
      </c>
      <c r="P41" s="18" t="s">
        <v>634</v>
      </c>
      <c r="Q41" s="18" t="s">
        <v>617</v>
      </c>
      <c r="R41" s="18" t="s">
        <v>635</v>
      </c>
      <c r="S41" s="18" t="s">
        <v>636</v>
      </c>
    </row>
    <row r="42" spans="1:19" ht="30" customHeight="1" x14ac:dyDescent="0.3">
      <c r="A42" s="18" t="s">
        <v>635</v>
      </c>
      <c r="B42" s="18" t="s">
        <v>637</v>
      </c>
      <c r="C42" s="18" t="s">
        <v>169</v>
      </c>
      <c r="D42" s="19">
        <v>46265</v>
      </c>
      <c r="E42" s="18" t="s">
        <v>166</v>
      </c>
      <c r="F42" s="18" t="s">
        <v>638</v>
      </c>
      <c r="G42" s="18" t="s">
        <v>529</v>
      </c>
      <c r="H42" s="18" t="s">
        <v>639</v>
      </c>
      <c r="I42" s="18" t="s">
        <v>347</v>
      </c>
      <c r="J42" s="18" t="s">
        <v>348</v>
      </c>
      <c r="K42" s="18" t="s">
        <v>310</v>
      </c>
      <c r="L42" s="18" t="s">
        <v>640</v>
      </c>
      <c r="M42" s="18" t="s">
        <v>641</v>
      </c>
      <c r="N42" s="18" t="s">
        <v>642</v>
      </c>
      <c r="O42" s="18" t="s">
        <v>643</v>
      </c>
      <c r="P42" s="18" t="s">
        <v>644</v>
      </c>
      <c r="Q42" s="18" t="s">
        <v>626</v>
      </c>
      <c r="R42" s="18" t="s">
        <v>354</v>
      </c>
      <c r="S42" s="18"/>
    </row>
    <row r="43" spans="1:19" ht="30" customHeight="1" x14ac:dyDescent="0.3">
      <c r="A43" s="18" t="s">
        <v>645</v>
      </c>
      <c r="B43" s="18" t="s">
        <v>646</v>
      </c>
      <c r="C43" s="18" t="s">
        <v>169</v>
      </c>
      <c r="D43" s="19">
        <v>46265</v>
      </c>
      <c r="E43" s="18" t="s">
        <v>166</v>
      </c>
      <c r="F43" s="18" t="s">
        <v>647</v>
      </c>
      <c r="G43" s="18" t="s">
        <v>529</v>
      </c>
      <c r="H43" s="18" t="s">
        <v>648</v>
      </c>
      <c r="I43" s="18" t="s">
        <v>308</v>
      </c>
      <c r="J43" s="18" t="s">
        <v>309</v>
      </c>
      <c r="K43" s="18" t="s">
        <v>310</v>
      </c>
      <c r="L43" s="18" t="s">
        <v>649</v>
      </c>
      <c r="M43" s="18" t="s">
        <v>650</v>
      </c>
      <c r="N43" s="18" t="s">
        <v>651</v>
      </c>
      <c r="O43" s="18" t="s">
        <v>652</v>
      </c>
      <c r="P43" s="18" t="s">
        <v>653</v>
      </c>
      <c r="Q43" s="18" t="s">
        <v>516</v>
      </c>
      <c r="R43" s="18" t="s">
        <v>654</v>
      </c>
      <c r="S43" s="18"/>
    </row>
    <row r="44" spans="1:19" ht="30" customHeight="1" x14ac:dyDescent="0.3">
      <c r="A44" s="18" t="s">
        <v>654</v>
      </c>
      <c r="B44" s="18" t="s">
        <v>655</v>
      </c>
      <c r="C44" s="18" t="s">
        <v>169</v>
      </c>
      <c r="D44" s="19">
        <v>46265</v>
      </c>
      <c r="E44" s="18" t="s">
        <v>166</v>
      </c>
      <c r="F44" s="18" t="s">
        <v>656</v>
      </c>
      <c r="G44" s="18" t="s">
        <v>529</v>
      </c>
      <c r="H44" s="18" t="s">
        <v>657</v>
      </c>
      <c r="I44" s="18" t="s">
        <v>308</v>
      </c>
      <c r="J44" s="18" t="s">
        <v>309</v>
      </c>
      <c r="K44" s="18" t="s">
        <v>310</v>
      </c>
      <c r="L44" s="18" t="s">
        <v>658</v>
      </c>
      <c r="M44" s="18" t="s">
        <v>482</v>
      </c>
      <c r="N44" s="18" t="s">
        <v>659</v>
      </c>
      <c r="O44" s="18" t="s">
        <v>660</v>
      </c>
      <c r="P44" s="18" t="s">
        <v>661</v>
      </c>
      <c r="Q44" s="18" t="s">
        <v>662</v>
      </c>
      <c r="R44" s="18" t="s">
        <v>354</v>
      </c>
      <c r="S44" s="18"/>
    </row>
    <row r="45" spans="1:19" ht="30" customHeight="1" x14ac:dyDescent="0.3">
      <c r="A45" s="18" t="s">
        <v>663</v>
      </c>
      <c r="B45" s="18" t="s">
        <v>664</v>
      </c>
      <c r="C45" s="18" t="s">
        <v>169</v>
      </c>
      <c r="D45" s="19">
        <v>46265</v>
      </c>
      <c r="E45" s="18" t="s">
        <v>166</v>
      </c>
      <c r="F45" s="18" t="s">
        <v>665</v>
      </c>
      <c r="G45" s="18" t="s">
        <v>529</v>
      </c>
      <c r="H45" s="18" t="s">
        <v>666</v>
      </c>
      <c r="I45" s="18" t="s">
        <v>308</v>
      </c>
      <c r="J45" s="18" t="s">
        <v>309</v>
      </c>
      <c r="K45" s="18" t="s">
        <v>310</v>
      </c>
      <c r="L45" s="18" t="s">
        <v>649</v>
      </c>
      <c r="M45" s="18" t="s">
        <v>667</v>
      </c>
      <c r="N45" s="18" t="s">
        <v>668</v>
      </c>
      <c r="O45" s="18" t="s">
        <v>669</v>
      </c>
      <c r="P45" s="18" t="s">
        <v>670</v>
      </c>
      <c r="Q45" s="18" t="s">
        <v>516</v>
      </c>
      <c r="R45" s="18" t="s">
        <v>671</v>
      </c>
      <c r="S45" s="18"/>
    </row>
    <row r="46" spans="1:19" ht="30" customHeight="1" x14ac:dyDescent="0.3">
      <c r="A46" s="18" t="s">
        <v>671</v>
      </c>
      <c r="B46" s="18" t="s">
        <v>672</v>
      </c>
      <c r="C46" s="18" t="s">
        <v>169</v>
      </c>
      <c r="D46" s="19">
        <v>46265</v>
      </c>
      <c r="E46" s="18" t="s">
        <v>166</v>
      </c>
      <c r="F46" s="18" t="s">
        <v>673</v>
      </c>
      <c r="G46" s="18" t="s">
        <v>529</v>
      </c>
      <c r="H46" s="18" t="s">
        <v>674</v>
      </c>
      <c r="I46" s="18" t="s">
        <v>308</v>
      </c>
      <c r="J46" s="18" t="s">
        <v>309</v>
      </c>
      <c r="K46" s="18" t="s">
        <v>509</v>
      </c>
      <c r="L46" s="18" t="s">
        <v>675</v>
      </c>
      <c r="M46" s="18" t="s">
        <v>511</v>
      </c>
      <c r="N46" s="18" t="s">
        <v>676</v>
      </c>
      <c r="O46" s="18" t="s">
        <v>677</v>
      </c>
      <c r="P46" s="18" t="s">
        <v>678</v>
      </c>
      <c r="Q46" s="18" t="s">
        <v>663</v>
      </c>
      <c r="R46" s="18" t="s">
        <v>354</v>
      </c>
      <c r="S46" s="18" t="s">
        <v>636</v>
      </c>
    </row>
    <row r="47" spans="1:19" ht="30" customHeight="1" x14ac:dyDescent="0.3">
      <c r="A47" s="18" t="s">
        <v>679</v>
      </c>
      <c r="B47" s="18" t="s">
        <v>680</v>
      </c>
      <c r="C47" s="18" t="s">
        <v>169</v>
      </c>
      <c r="D47" s="19">
        <v>46265</v>
      </c>
      <c r="E47" s="18" t="s">
        <v>166</v>
      </c>
      <c r="F47" s="18" t="s">
        <v>681</v>
      </c>
      <c r="G47" s="18" t="s">
        <v>682</v>
      </c>
      <c r="H47" s="18" t="s">
        <v>683</v>
      </c>
      <c r="I47" s="18" t="s">
        <v>347</v>
      </c>
      <c r="J47" s="18" t="s">
        <v>348</v>
      </c>
      <c r="K47" s="18" t="s">
        <v>310</v>
      </c>
      <c r="L47" s="18" t="s">
        <v>684</v>
      </c>
      <c r="M47" s="18" t="s">
        <v>685</v>
      </c>
      <c r="N47" s="18" t="s">
        <v>686</v>
      </c>
      <c r="O47" s="18" t="s">
        <v>687</v>
      </c>
      <c r="P47" s="18" t="s">
        <v>688</v>
      </c>
      <c r="Q47" s="18" t="s">
        <v>339</v>
      </c>
      <c r="R47" s="18" t="s">
        <v>689</v>
      </c>
      <c r="S47" s="18"/>
    </row>
    <row r="48" spans="1:19" ht="30" customHeight="1" x14ac:dyDescent="0.3">
      <c r="A48" s="18" t="s">
        <v>689</v>
      </c>
      <c r="B48" s="18" t="s">
        <v>690</v>
      </c>
      <c r="C48" s="18" t="s">
        <v>169</v>
      </c>
      <c r="D48" s="19">
        <v>46265</v>
      </c>
      <c r="E48" s="18" t="s">
        <v>166</v>
      </c>
      <c r="F48" s="18" t="s">
        <v>691</v>
      </c>
      <c r="G48" s="18" t="s">
        <v>682</v>
      </c>
      <c r="H48" s="18" t="s">
        <v>692</v>
      </c>
      <c r="I48" s="18" t="s">
        <v>347</v>
      </c>
      <c r="J48" s="18" t="s">
        <v>348</v>
      </c>
      <c r="K48" s="18" t="s">
        <v>310</v>
      </c>
      <c r="L48" s="18" t="s">
        <v>693</v>
      </c>
      <c r="M48" s="18" t="s">
        <v>694</v>
      </c>
      <c r="N48" s="18" t="s">
        <v>695</v>
      </c>
      <c r="O48" s="18" t="s">
        <v>696</v>
      </c>
      <c r="P48" s="18" t="s">
        <v>697</v>
      </c>
      <c r="Q48" s="18" t="s">
        <v>698</v>
      </c>
      <c r="R48" s="18" t="s">
        <v>354</v>
      </c>
      <c r="S48" s="18"/>
    </row>
    <row r="49" spans="1:19" ht="30" customHeight="1" x14ac:dyDescent="0.3">
      <c r="A49" s="18" t="s">
        <v>699</v>
      </c>
      <c r="B49" s="18" t="s">
        <v>700</v>
      </c>
      <c r="C49" s="18" t="s">
        <v>169</v>
      </c>
      <c r="D49" s="19">
        <v>46265</v>
      </c>
      <c r="E49" s="18" t="s">
        <v>166</v>
      </c>
      <c r="F49" s="18" t="s">
        <v>701</v>
      </c>
      <c r="G49" s="18" t="s">
        <v>682</v>
      </c>
      <c r="H49" s="18" t="s">
        <v>702</v>
      </c>
      <c r="I49" s="18" t="s">
        <v>308</v>
      </c>
      <c r="J49" s="18" t="s">
        <v>309</v>
      </c>
      <c r="K49" s="18" t="s">
        <v>310</v>
      </c>
      <c r="L49" s="18" t="s">
        <v>684</v>
      </c>
      <c r="M49" s="18" t="s">
        <v>703</v>
      </c>
      <c r="N49" s="18" t="s">
        <v>704</v>
      </c>
      <c r="O49" s="18" t="s">
        <v>705</v>
      </c>
      <c r="P49" s="18" t="s">
        <v>706</v>
      </c>
      <c r="Q49" s="18" t="s">
        <v>339</v>
      </c>
      <c r="R49" s="18" t="s">
        <v>707</v>
      </c>
      <c r="S49" s="18" t="s">
        <v>708</v>
      </c>
    </row>
    <row r="50" spans="1:19" ht="30" customHeight="1" x14ac:dyDescent="0.3">
      <c r="A50" s="18" t="s">
        <v>707</v>
      </c>
      <c r="B50" s="18" t="s">
        <v>709</v>
      </c>
      <c r="C50" s="18" t="s">
        <v>169</v>
      </c>
      <c r="D50" s="19">
        <v>46265</v>
      </c>
      <c r="E50" s="18" t="s">
        <v>166</v>
      </c>
      <c r="F50" s="18" t="s">
        <v>710</v>
      </c>
      <c r="G50" s="18" t="s">
        <v>682</v>
      </c>
      <c r="H50" s="18" t="s">
        <v>711</v>
      </c>
      <c r="I50" s="18" t="s">
        <v>308</v>
      </c>
      <c r="J50" s="18" t="s">
        <v>309</v>
      </c>
      <c r="K50" s="18" t="s">
        <v>310</v>
      </c>
      <c r="L50" s="18" t="s">
        <v>712</v>
      </c>
      <c r="M50" s="18" t="s">
        <v>713</v>
      </c>
      <c r="N50" s="18" t="s">
        <v>714</v>
      </c>
      <c r="O50" s="18" t="s">
        <v>715</v>
      </c>
      <c r="P50" s="18" t="s">
        <v>716</v>
      </c>
      <c r="Q50" s="18" t="s">
        <v>699</v>
      </c>
      <c r="R50" s="18" t="s">
        <v>354</v>
      </c>
      <c r="S50" s="18"/>
    </row>
    <row r="51" spans="1:19" ht="44.4" customHeight="1" x14ac:dyDescent="0.3">
      <c r="A51" s="18" t="s">
        <v>717</v>
      </c>
      <c r="B51" s="18" t="s">
        <v>718</v>
      </c>
      <c r="C51" s="18" t="s">
        <v>169</v>
      </c>
      <c r="D51" s="19">
        <v>46265</v>
      </c>
      <c r="E51" s="18" t="s">
        <v>166</v>
      </c>
      <c r="F51" s="18" t="s">
        <v>719</v>
      </c>
      <c r="G51" s="18" t="s">
        <v>682</v>
      </c>
      <c r="H51" s="18" t="s">
        <v>1418</v>
      </c>
      <c r="I51" s="18" t="s">
        <v>308</v>
      </c>
      <c r="J51" s="18" t="s">
        <v>309</v>
      </c>
      <c r="K51" s="18" t="s">
        <v>310</v>
      </c>
      <c r="L51" s="18" t="s">
        <v>721</v>
      </c>
      <c r="M51" s="18" t="s">
        <v>722</v>
      </c>
      <c r="N51" s="18" t="s">
        <v>723</v>
      </c>
      <c r="O51" s="18" t="s">
        <v>724</v>
      </c>
      <c r="P51" s="18" t="s">
        <v>725</v>
      </c>
      <c r="Q51" s="18" t="s">
        <v>699</v>
      </c>
      <c r="R51" s="18" t="s">
        <v>726</v>
      </c>
      <c r="S51" s="18"/>
    </row>
    <row r="52" spans="1:19" ht="30" customHeight="1" x14ac:dyDescent="0.3">
      <c r="A52" s="18" t="s">
        <v>727</v>
      </c>
      <c r="B52" s="18" t="s">
        <v>728</v>
      </c>
      <c r="C52" s="18" t="s">
        <v>169</v>
      </c>
      <c r="D52" s="19">
        <v>46265</v>
      </c>
      <c r="E52" s="18" t="s">
        <v>166</v>
      </c>
      <c r="F52" s="18" t="s">
        <v>729</v>
      </c>
      <c r="G52" s="18" t="s">
        <v>682</v>
      </c>
      <c r="H52" s="18" t="s">
        <v>730</v>
      </c>
      <c r="I52" s="18" t="s">
        <v>347</v>
      </c>
      <c r="J52" s="18" t="s">
        <v>348</v>
      </c>
      <c r="K52" s="18" t="s">
        <v>310</v>
      </c>
      <c r="L52" s="18" t="s">
        <v>731</v>
      </c>
      <c r="M52" s="18" t="s">
        <v>732</v>
      </c>
      <c r="N52" s="18" t="s">
        <v>733</v>
      </c>
      <c r="O52" s="18" t="s">
        <v>734</v>
      </c>
      <c r="P52" s="18" t="s">
        <v>735</v>
      </c>
      <c r="Q52" s="18" t="s">
        <v>717</v>
      </c>
      <c r="R52" s="18" t="s">
        <v>354</v>
      </c>
      <c r="S52" s="18"/>
    </row>
    <row r="53" spans="1:19" ht="30" customHeight="1" x14ac:dyDescent="0.3">
      <c r="A53" s="18" t="s">
        <v>736</v>
      </c>
      <c r="B53" s="18" t="s">
        <v>737</v>
      </c>
      <c r="C53" s="18" t="s">
        <v>169</v>
      </c>
      <c r="D53" s="19">
        <v>46265</v>
      </c>
      <c r="E53" s="18" t="s">
        <v>166</v>
      </c>
      <c r="F53" s="18" t="s">
        <v>738</v>
      </c>
      <c r="G53" s="18" t="s">
        <v>682</v>
      </c>
      <c r="H53" s="18" t="s">
        <v>739</v>
      </c>
      <c r="I53" s="18" t="s">
        <v>308</v>
      </c>
      <c r="J53" s="18" t="s">
        <v>309</v>
      </c>
      <c r="K53" s="18" t="s">
        <v>509</v>
      </c>
      <c r="L53" s="18" t="s">
        <v>740</v>
      </c>
      <c r="M53" s="18" t="s">
        <v>741</v>
      </c>
      <c r="N53" s="18" t="s">
        <v>742</v>
      </c>
      <c r="O53" s="18" t="s">
        <v>743</v>
      </c>
      <c r="P53" s="18" t="s">
        <v>744</v>
      </c>
      <c r="Q53" s="18" t="s">
        <v>717</v>
      </c>
      <c r="R53" s="18" t="s">
        <v>354</v>
      </c>
      <c r="S53" s="18" t="s">
        <v>745</v>
      </c>
    </row>
    <row r="54" spans="1:19" ht="30" customHeight="1" x14ac:dyDescent="0.3">
      <c r="A54" s="18" t="s">
        <v>746</v>
      </c>
      <c r="B54" s="18" t="s">
        <v>747</v>
      </c>
      <c r="C54" s="18" t="s">
        <v>169</v>
      </c>
      <c r="D54" s="19">
        <v>46265</v>
      </c>
      <c r="E54" s="18" t="s">
        <v>166</v>
      </c>
      <c r="F54" s="18" t="s">
        <v>748</v>
      </c>
      <c r="G54" s="18" t="s">
        <v>682</v>
      </c>
      <c r="H54" s="18" t="s">
        <v>749</v>
      </c>
      <c r="I54" s="18" t="s">
        <v>308</v>
      </c>
      <c r="J54" s="18" t="s">
        <v>309</v>
      </c>
      <c r="K54" s="18" t="s">
        <v>310</v>
      </c>
      <c r="L54" s="18" t="s">
        <v>684</v>
      </c>
      <c r="M54" s="18" t="s">
        <v>750</v>
      </c>
      <c r="N54" s="18" t="s">
        <v>751</v>
      </c>
      <c r="O54" s="18" t="s">
        <v>752</v>
      </c>
      <c r="P54" s="18" t="s">
        <v>753</v>
      </c>
      <c r="Q54" s="18" t="s">
        <v>339</v>
      </c>
      <c r="R54" s="18" t="s">
        <v>754</v>
      </c>
      <c r="S54" s="18"/>
    </row>
    <row r="55" spans="1:19" ht="30" customHeight="1" x14ac:dyDescent="0.3">
      <c r="A55" s="18" t="s">
        <v>754</v>
      </c>
      <c r="B55" s="18" t="s">
        <v>755</v>
      </c>
      <c r="C55" s="18" t="s">
        <v>169</v>
      </c>
      <c r="D55" s="19">
        <v>46265</v>
      </c>
      <c r="E55" s="18" t="s">
        <v>166</v>
      </c>
      <c r="F55" s="18" t="s">
        <v>756</v>
      </c>
      <c r="G55" s="18" t="s">
        <v>682</v>
      </c>
      <c r="H55" s="18" t="s">
        <v>757</v>
      </c>
      <c r="I55" s="18" t="s">
        <v>308</v>
      </c>
      <c r="J55" s="18" t="s">
        <v>309</v>
      </c>
      <c r="K55" s="18" t="s">
        <v>310</v>
      </c>
      <c r="L55" s="18" t="s">
        <v>758</v>
      </c>
      <c r="M55" s="18" t="s">
        <v>482</v>
      </c>
      <c r="N55" s="18" t="s">
        <v>759</v>
      </c>
      <c r="O55" s="18" t="s">
        <v>760</v>
      </c>
      <c r="P55" s="18" t="s">
        <v>761</v>
      </c>
      <c r="Q55" s="18" t="s">
        <v>746</v>
      </c>
      <c r="R55" s="18" t="s">
        <v>354</v>
      </c>
      <c r="S55" s="18"/>
    </row>
    <row r="56" spans="1:19" ht="30" customHeight="1" x14ac:dyDescent="0.3">
      <c r="A56" s="18" t="s">
        <v>762</v>
      </c>
      <c r="B56" s="18" t="s">
        <v>763</v>
      </c>
      <c r="C56" s="18" t="s">
        <v>169</v>
      </c>
      <c r="D56" s="19">
        <v>46265</v>
      </c>
      <c r="E56" s="18" t="s">
        <v>166</v>
      </c>
      <c r="F56" s="18" t="s">
        <v>764</v>
      </c>
      <c r="G56" s="18" t="s">
        <v>682</v>
      </c>
      <c r="H56" s="18" t="s">
        <v>765</v>
      </c>
      <c r="I56" s="18" t="s">
        <v>308</v>
      </c>
      <c r="J56" s="18" t="s">
        <v>309</v>
      </c>
      <c r="K56" s="18" t="s">
        <v>310</v>
      </c>
      <c r="L56" s="18" t="s">
        <v>684</v>
      </c>
      <c r="M56" s="18" t="s">
        <v>766</v>
      </c>
      <c r="N56" s="18" t="s">
        <v>767</v>
      </c>
      <c r="O56" s="18" t="s">
        <v>768</v>
      </c>
      <c r="P56" s="18" t="s">
        <v>769</v>
      </c>
      <c r="Q56" s="18" t="s">
        <v>339</v>
      </c>
      <c r="R56" s="18" t="s">
        <v>770</v>
      </c>
      <c r="S56" s="18"/>
    </row>
    <row r="57" spans="1:19" ht="30" customHeight="1" x14ac:dyDescent="0.3">
      <c r="A57" s="18" t="s">
        <v>770</v>
      </c>
      <c r="B57" s="18" t="s">
        <v>771</v>
      </c>
      <c r="C57" s="18" t="s">
        <v>169</v>
      </c>
      <c r="D57" s="19">
        <v>46265</v>
      </c>
      <c r="E57" s="18" t="s">
        <v>166</v>
      </c>
      <c r="F57" s="18" t="s">
        <v>772</v>
      </c>
      <c r="G57" s="18" t="s">
        <v>682</v>
      </c>
      <c r="H57" s="18" t="s">
        <v>773</v>
      </c>
      <c r="I57" s="18" t="s">
        <v>308</v>
      </c>
      <c r="J57" s="18" t="s">
        <v>309</v>
      </c>
      <c r="K57" s="18" t="s">
        <v>509</v>
      </c>
      <c r="L57" s="18" t="s">
        <v>774</v>
      </c>
      <c r="M57" s="18" t="s">
        <v>511</v>
      </c>
      <c r="N57" s="18" t="s">
        <v>775</v>
      </c>
      <c r="O57" s="18" t="s">
        <v>776</v>
      </c>
      <c r="P57" s="18" t="s">
        <v>777</v>
      </c>
      <c r="Q57" s="18" t="s">
        <v>762</v>
      </c>
      <c r="R57" s="18" t="s">
        <v>354</v>
      </c>
      <c r="S57" s="18" t="s">
        <v>778</v>
      </c>
    </row>
    <row r="58" spans="1:19" ht="30" customHeight="1" x14ac:dyDescent="0.3">
      <c r="A58" s="18" t="s">
        <v>779</v>
      </c>
      <c r="B58" s="18" t="s">
        <v>780</v>
      </c>
      <c r="C58" s="18" t="s">
        <v>169</v>
      </c>
      <c r="D58" s="19">
        <v>46265</v>
      </c>
      <c r="E58" s="18" t="s">
        <v>166</v>
      </c>
      <c r="F58" s="18" t="s">
        <v>781</v>
      </c>
      <c r="G58" s="18" t="s">
        <v>782</v>
      </c>
      <c r="H58" s="18" t="s">
        <v>783</v>
      </c>
      <c r="I58" s="18" t="s">
        <v>347</v>
      </c>
      <c r="J58" s="18" t="s">
        <v>348</v>
      </c>
      <c r="K58" s="18" t="s">
        <v>310</v>
      </c>
      <c r="L58" s="18" t="s">
        <v>359</v>
      </c>
      <c r="M58" s="18" t="s">
        <v>784</v>
      </c>
      <c r="N58" s="18" t="s">
        <v>785</v>
      </c>
      <c r="O58" s="18" t="s">
        <v>786</v>
      </c>
      <c r="P58" s="18" t="s">
        <v>787</v>
      </c>
      <c r="Q58" s="18" t="s">
        <v>339</v>
      </c>
      <c r="R58" s="18" t="s">
        <v>788</v>
      </c>
      <c r="S58" s="18"/>
    </row>
    <row r="59" spans="1:19" ht="30" customHeight="1" x14ac:dyDescent="0.3">
      <c r="A59" s="18" t="s">
        <v>788</v>
      </c>
      <c r="B59" s="18" t="s">
        <v>789</v>
      </c>
      <c r="C59" s="18" t="s">
        <v>169</v>
      </c>
      <c r="D59" s="19">
        <v>46265</v>
      </c>
      <c r="E59" s="18" t="s">
        <v>166</v>
      </c>
      <c r="F59" s="18" t="s">
        <v>790</v>
      </c>
      <c r="G59" s="18" t="s">
        <v>791</v>
      </c>
      <c r="H59" s="18" t="s">
        <v>792</v>
      </c>
      <c r="I59" s="18" t="s">
        <v>347</v>
      </c>
      <c r="J59" s="18" t="s">
        <v>348</v>
      </c>
      <c r="K59" s="18" t="s">
        <v>310</v>
      </c>
      <c r="L59" s="18" t="s">
        <v>793</v>
      </c>
      <c r="M59" s="18" t="s">
        <v>794</v>
      </c>
      <c r="N59" s="18" t="s">
        <v>795</v>
      </c>
      <c r="O59" s="18" t="s">
        <v>796</v>
      </c>
      <c r="P59" s="18" t="s">
        <v>797</v>
      </c>
      <c r="Q59" s="18" t="s">
        <v>779</v>
      </c>
      <c r="R59" s="18" t="s">
        <v>354</v>
      </c>
      <c r="S59" s="18" t="s">
        <v>798</v>
      </c>
    </row>
    <row r="60" spans="1:19" ht="30" customHeight="1" x14ac:dyDescent="0.3">
      <c r="A60" s="12"/>
      <c r="B60" s="12"/>
      <c r="C60" s="12"/>
      <c r="D60" s="15"/>
      <c r="E60" s="12"/>
      <c r="F60" s="12"/>
      <c r="G60" s="12"/>
      <c r="H60" s="12"/>
      <c r="I60" s="12"/>
      <c r="J60" s="12"/>
      <c r="K60" s="12"/>
      <c r="L60" s="12"/>
      <c r="M60" s="12"/>
      <c r="N60" s="12"/>
      <c r="O60" s="12"/>
      <c r="P60" s="12"/>
      <c r="Q60" s="12"/>
      <c r="R60" s="12"/>
      <c r="S60" s="12"/>
    </row>
    <row r="61" spans="1:19" ht="30" customHeight="1" x14ac:dyDescent="0.3">
      <c r="A61" s="12"/>
      <c r="B61" s="12"/>
      <c r="C61" s="12"/>
      <c r="D61" s="15"/>
      <c r="E61" s="12"/>
      <c r="F61" s="12"/>
      <c r="G61" s="12"/>
      <c r="H61" s="12"/>
      <c r="I61" s="12"/>
      <c r="J61" s="12"/>
      <c r="K61" s="12"/>
      <c r="L61" s="12"/>
      <c r="M61" s="12"/>
      <c r="N61" s="12"/>
      <c r="O61" s="12"/>
      <c r="P61" s="12"/>
      <c r="Q61" s="12"/>
      <c r="R61" s="12"/>
      <c r="S61" s="12"/>
    </row>
    <row r="62" spans="1:19" ht="30" customHeight="1" x14ac:dyDescent="0.3">
      <c r="A62" s="12"/>
      <c r="B62" s="12"/>
      <c r="C62" s="12"/>
      <c r="D62" s="15"/>
      <c r="E62" s="12"/>
      <c r="F62" s="12"/>
      <c r="G62" s="12"/>
      <c r="H62" s="12"/>
      <c r="I62" s="12"/>
      <c r="J62" s="12"/>
      <c r="K62" s="12"/>
      <c r="L62" s="12"/>
      <c r="M62" s="12"/>
      <c r="N62" s="12"/>
      <c r="O62" s="12"/>
      <c r="P62" s="12"/>
      <c r="Q62" s="12"/>
      <c r="R62" s="12"/>
      <c r="S62" s="12"/>
    </row>
    <row r="63" spans="1:19" ht="30" customHeight="1" x14ac:dyDescent="0.3">
      <c r="A63" s="12"/>
      <c r="B63" s="12"/>
      <c r="C63" s="12"/>
      <c r="D63" s="15"/>
      <c r="E63" s="12"/>
      <c r="F63" s="12"/>
      <c r="G63" s="12"/>
      <c r="H63" s="12"/>
      <c r="I63" s="12"/>
      <c r="J63" s="12"/>
      <c r="K63" s="12"/>
      <c r="L63" s="12"/>
      <c r="M63" s="12"/>
      <c r="N63" s="12"/>
      <c r="O63" s="12"/>
      <c r="P63" s="12"/>
      <c r="Q63" s="12"/>
      <c r="R63" s="12"/>
      <c r="S63" s="12"/>
    </row>
    <row r="64" spans="1:19" ht="30" customHeight="1" x14ac:dyDescent="0.3">
      <c r="A64" s="12"/>
      <c r="B64" s="12"/>
      <c r="C64" s="12"/>
      <c r="D64" s="15"/>
      <c r="E64" s="12"/>
      <c r="F64" s="12"/>
      <c r="G64" s="12"/>
      <c r="H64" s="12"/>
      <c r="I64" s="12"/>
      <c r="J64" s="12"/>
      <c r="K64" s="12"/>
      <c r="L64" s="12"/>
      <c r="M64" s="12"/>
      <c r="N64" s="12"/>
      <c r="O64" s="12"/>
      <c r="P64" s="12"/>
      <c r="Q64" s="12"/>
      <c r="R64" s="12"/>
      <c r="S64" s="12"/>
    </row>
    <row r="65" spans="1:19" ht="30" customHeight="1" x14ac:dyDescent="0.3">
      <c r="A65" s="12"/>
      <c r="B65" s="12"/>
      <c r="C65" s="12"/>
      <c r="D65" s="15"/>
      <c r="E65" s="12"/>
      <c r="F65" s="12"/>
      <c r="G65" s="12"/>
      <c r="H65" s="12"/>
      <c r="I65" s="12"/>
      <c r="J65" s="12"/>
      <c r="K65" s="12"/>
      <c r="L65" s="12"/>
      <c r="M65" s="12"/>
      <c r="N65" s="12"/>
      <c r="O65" s="12"/>
      <c r="P65" s="12"/>
      <c r="Q65" s="12"/>
      <c r="R65" s="12"/>
      <c r="S65" s="12"/>
    </row>
    <row r="66" spans="1:19" ht="30" customHeight="1" x14ac:dyDescent="0.3">
      <c r="A66" s="12"/>
      <c r="B66" s="12"/>
      <c r="C66" s="12"/>
      <c r="D66" s="15"/>
      <c r="E66" s="12"/>
      <c r="F66" s="12"/>
      <c r="G66" s="12"/>
      <c r="H66" s="12"/>
      <c r="I66" s="12"/>
      <c r="J66" s="12"/>
      <c r="K66" s="12"/>
      <c r="L66" s="12"/>
      <c r="M66" s="12"/>
      <c r="N66" s="12"/>
      <c r="O66" s="12"/>
      <c r="P66" s="12"/>
      <c r="Q66" s="12"/>
      <c r="R66" s="12"/>
      <c r="S66" s="12"/>
    </row>
    <row r="67" spans="1:19" ht="30" customHeight="1" x14ac:dyDescent="0.3">
      <c r="A67" s="12"/>
      <c r="B67" s="12"/>
      <c r="C67" s="12"/>
      <c r="D67" s="15"/>
      <c r="E67" s="12"/>
      <c r="F67" s="12"/>
      <c r="G67" s="12"/>
      <c r="H67" s="12"/>
      <c r="I67" s="12"/>
      <c r="J67" s="12"/>
      <c r="K67" s="12"/>
      <c r="L67" s="12"/>
      <c r="M67" s="12"/>
      <c r="N67" s="12"/>
      <c r="O67" s="12"/>
      <c r="P67" s="12"/>
      <c r="Q67" s="12"/>
      <c r="R67" s="12"/>
      <c r="S67" s="12"/>
    </row>
    <row r="68" spans="1:19" ht="30" customHeight="1" x14ac:dyDescent="0.3">
      <c r="A68" s="12"/>
      <c r="B68" s="12"/>
      <c r="C68" s="12"/>
      <c r="D68" s="15"/>
      <c r="E68" s="12"/>
      <c r="F68" s="12"/>
      <c r="G68" s="12"/>
      <c r="H68" s="12"/>
      <c r="I68" s="12"/>
      <c r="J68" s="12"/>
      <c r="K68" s="12"/>
      <c r="L68" s="12"/>
      <c r="M68" s="12"/>
      <c r="N68" s="12"/>
      <c r="O68" s="12"/>
      <c r="P68" s="12"/>
      <c r="Q68" s="12"/>
      <c r="R68" s="12"/>
      <c r="S68" s="12"/>
    </row>
    <row r="69" spans="1:19" ht="30" customHeight="1" x14ac:dyDescent="0.3">
      <c r="A69" s="12"/>
      <c r="B69" s="12"/>
      <c r="C69" s="12"/>
      <c r="D69" s="15"/>
      <c r="E69" s="12"/>
      <c r="F69" s="12"/>
      <c r="G69" s="12"/>
      <c r="H69" s="12"/>
      <c r="I69" s="12"/>
      <c r="J69" s="12"/>
      <c r="K69" s="12"/>
      <c r="L69" s="12"/>
      <c r="M69" s="12"/>
      <c r="N69" s="12"/>
      <c r="O69" s="12"/>
      <c r="P69" s="12"/>
      <c r="Q69" s="12"/>
      <c r="R69" s="12"/>
      <c r="S69" s="12"/>
    </row>
    <row r="70" spans="1:19" ht="30" customHeight="1" x14ac:dyDescent="0.3">
      <c r="A70" s="12"/>
      <c r="B70" s="12"/>
      <c r="C70" s="12"/>
      <c r="D70" s="15"/>
      <c r="E70" s="12"/>
      <c r="F70" s="12"/>
      <c r="G70" s="12"/>
      <c r="H70" s="12"/>
      <c r="I70" s="12"/>
      <c r="J70" s="12"/>
      <c r="K70" s="12"/>
      <c r="L70" s="12"/>
      <c r="M70" s="12"/>
      <c r="N70" s="12"/>
      <c r="O70" s="12"/>
      <c r="P70" s="12"/>
      <c r="Q70" s="12"/>
      <c r="R70" s="12"/>
      <c r="S70" s="12"/>
    </row>
    <row r="71" spans="1:19" ht="30" customHeight="1" x14ac:dyDescent="0.3">
      <c r="A71" s="12"/>
      <c r="B71" s="12"/>
      <c r="C71" s="12"/>
      <c r="D71" s="15"/>
      <c r="E71" s="12"/>
      <c r="F71" s="12"/>
      <c r="G71" s="12"/>
      <c r="H71" s="12"/>
      <c r="I71" s="12"/>
      <c r="J71" s="12"/>
      <c r="K71" s="12"/>
      <c r="L71" s="12"/>
      <c r="M71" s="12"/>
      <c r="N71" s="12"/>
      <c r="O71" s="12"/>
      <c r="P71" s="12"/>
      <c r="Q71" s="12"/>
      <c r="R71" s="12"/>
      <c r="S71" s="12"/>
    </row>
    <row r="72" spans="1:19" ht="30" customHeight="1" x14ac:dyDescent="0.3">
      <c r="A72" s="12"/>
      <c r="B72" s="12"/>
      <c r="C72" s="12"/>
      <c r="D72" s="15"/>
      <c r="E72" s="12"/>
      <c r="F72" s="12"/>
      <c r="G72" s="12"/>
      <c r="H72" s="12"/>
      <c r="I72" s="12"/>
      <c r="J72" s="12"/>
      <c r="K72" s="12"/>
      <c r="L72" s="12"/>
      <c r="M72" s="12"/>
      <c r="N72" s="12"/>
      <c r="O72" s="12"/>
      <c r="P72" s="12"/>
      <c r="Q72" s="12"/>
      <c r="R72" s="12"/>
      <c r="S72" s="12"/>
    </row>
    <row r="73" spans="1:19" ht="30" customHeight="1" x14ac:dyDescent="0.3">
      <c r="A73" s="12"/>
      <c r="B73" s="12"/>
      <c r="C73" s="12"/>
      <c r="D73" s="15"/>
      <c r="E73" s="12"/>
      <c r="F73" s="12"/>
      <c r="G73" s="12"/>
      <c r="H73" s="12"/>
      <c r="I73" s="12"/>
      <c r="J73" s="12"/>
      <c r="K73" s="12"/>
      <c r="L73" s="12"/>
      <c r="M73" s="12"/>
      <c r="N73" s="12"/>
      <c r="O73" s="12"/>
      <c r="P73" s="12"/>
      <c r="Q73" s="12"/>
      <c r="R73" s="12"/>
      <c r="S73" s="12"/>
    </row>
    <row r="74" spans="1:19" ht="30" customHeight="1" x14ac:dyDescent="0.3">
      <c r="A74" s="12"/>
      <c r="B74" s="12"/>
      <c r="C74" s="12"/>
      <c r="D74" s="15"/>
      <c r="E74" s="12"/>
      <c r="F74" s="12"/>
      <c r="G74" s="12"/>
      <c r="H74" s="12"/>
      <c r="I74" s="12"/>
      <c r="J74" s="12"/>
      <c r="K74" s="12"/>
      <c r="L74" s="12"/>
      <c r="M74" s="12"/>
      <c r="N74" s="12"/>
      <c r="O74" s="12"/>
      <c r="P74" s="12"/>
      <c r="Q74" s="12"/>
      <c r="R74" s="12"/>
      <c r="S74" s="12"/>
    </row>
    <row r="75" spans="1:19" ht="30" customHeight="1" x14ac:dyDescent="0.3">
      <c r="A75" s="12"/>
      <c r="B75" s="12"/>
      <c r="C75" s="12"/>
      <c r="D75" s="15"/>
      <c r="E75" s="12"/>
      <c r="F75" s="12"/>
      <c r="G75" s="12"/>
      <c r="H75" s="12"/>
      <c r="I75" s="12"/>
      <c r="J75" s="12"/>
      <c r="K75" s="12"/>
      <c r="L75" s="12"/>
      <c r="M75" s="12"/>
      <c r="N75" s="12"/>
      <c r="O75" s="12"/>
      <c r="P75" s="12"/>
      <c r="Q75" s="12"/>
      <c r="R75" s="12"/>
      <c r="S75" s="12"/>
    </row>
    <row r="76" spans="1:19" ht="30" customHeight="1" x14ac:dyDescent="0.3">
      <c r="A76" s="12"/>
      <c r="B76" s="12"/>
      <c r="C76" s="12"/>
      <c r="D76" s="15"/>
      <c r="E76" s="12"/>
      <c r="F76" s="12"/>
      <c r="G76" s="12"/>
      <c r="H76" s="12"/>
      <c r="I76" s="12"/>
      <c r="J76" s="12"/>
      <c r="K76" s="12"/>
      <c r="L76" s="12"/>
      <c r="M76" s="12"/>
      <c r="N76" s="12"/>
      <c r="O76" s="12"/>
      <c r="P76" s="12"/>
      <c r="Q76" s="12"/>
      <c r="R76" s="12"/>
      <c r="S76" s="12"/>
    </row>
    <row r="77" spans="1:19" ht="30" customHeight="1" x14ac:dyDescent="0.3">
      <c r="A77" s="12"/>
      <c r="B77" s="12"/>
      <c r="C77" s="12"/>
      <c r="D77" s="15"/>
      <c r="E77" s="12"/>
      <c r="F77" s="12"/>
      <c r="G77" s="12"/>
      <c r="H77" s="12"/>
      <c r="I77" s="12"/>
      <c r="J77" s="12"/>
      <c r="K77" s="12"/>
      <c r="L77" s="12"/>
      <c r="M77" s="12"/>
      <c r="N77" s="12"/>
      <c r="O77" s="12"/>
      <c r="P77" s="12"/>
      <c r="Q77" s="12"/>
      <c r="R77" s="12"/>
      <c r="S77" s="12"/>
    </row>
    <row r="78" spans="1:19" ht="30" customHeight="1" x14ac:dyDescent="0.3">
      <c r="A78" s="12"/>
      <c r="B78" s="12"/>
      <c r="C78" s="12"/>
      <c r="D78" s="15"/>
      <c r="E78" s="12"/>
      <c r="F78" s="12"/>
      <c r="G78" s="12"/>
      <c r="H78" s="12"/>
      <c r="I78" s="12"/>
      <c r="J78" s="12"/>
      <c r="K78" s="12"/>
      <c r="L78" s="12"/>
      <c r="M78" s="12"/>
      <c r="N78" s="12"/>
      <c r="O78" s="12"/>
      <c r="P78" s="12"/>
      <c r="Q78" s="12"/>
      <c r="R78" s="12"/>
      <c r="S78" s="12"/>
    </row>
    <row r="79" spans="1:19" ht="30" customHeight="1" x14ac:dyDescent="0.3">
      <c r="A79" s="12"/>
      <c r="B79" s="12"/>
      <c r="C79" s="12"/>
      <c r="D79" s="15"/>
      <c r="E79" s="12"/>
      <c r="F79" s="12"/>
      <c r="G79" s="12"/>
      <c r="H79" s="12"/>
      <c r="I79" s="12"/>
      <c r="J79" s="12"/>
      <c r="K79" s="12"/>
      <c r="L79" s="12"/>
      <c r="M79" s="12"/>
      <c r="N79" s="12"/>
      <c r="O79" s="12"/>
      <c r="P79" s="12"/>
      <c r="Q79" s="12"/>
      <c r="R79" s="12"/>
      <c r="S79" s="12"/>
    </row>
    <row r="80" spans="1:19" ht="30" customHeight="1" x14ac:dyDescent="0.3">
      <c r="A80" s="12"/>
      <c r="B80" s="12"/>
      <c r="C80" s="12"/>
      <c r="D80" s="15"/>
      <c r="E80" s="12"/>
      <c r="F80" s="12"/>
      <c r="G80" s="12"/>
      <c r="H80" s="12"/>
      <c r="I80" s="12"/>
      <c r="J80" s="12"/>
      <c r="K80" s="12"/>
      <c r="L80" s="12"/>
      <c r="M80" s="12"/>
      <c r="N80" s="12"/>
      <c r="O80" s="12"/>
      <c r="P80" s="12"/>
      <c r="Q80" s="12"/>
      <c r="R80" s="12"/>
      <c r="S80" s="12"/>
    </row>
    <row r="81" spans="1:19" ht="30" customHeight="1" x14ac:dyDescent="0.3">
      <c r="A81" s="12"/>
      <c r="B81" s="12"/>
      <c r="C81" s="12"/>
      <c r="D81" s="15"/>
      <c r="E81" s="12"/>
      <c r="F81" s="12"/>
      <c r="G81" s="12"/>
      <c r="H81" s="12"/>
      <c r="I81" s="12"/>
      <c r="J81" s="12"/>
      <c r="K81" s="12"/>
      <c r="L81" s="12"/>
      <c r="M81" s="12"/>
      <c r="N81" s="12"/>
      <c r="O81" s="12"/>
      <c r="P81" s="12"/>
      <c r="Q81" s="12"/>
      <c r="R81" s="12"/>
      <c r="S81" s="12"/>
    </row>
    <row r="82" spans="1:19" ht="30" customHeight="1" x14ac:dyDescent="0.3">
      <c r="A82" s="12"/>
      <c r="B82" s="12"/>
      <c r="C82" s="12"/>
      <c r="D82" s="15"/>
      <c r="E82" s="12"/>
      <c r="F82" s="12"/>
      <c r="G82" s="12"/>
      <c r="H82" s="12"/>
      <c r="I82" s="12"/>
      <c r="J82" s="12"/>
      <c r="K82" s="12"/>
      <c r="L82" s="12"/>
      <c r="M82" s="12"/>
      <c r="N82" s="12"/>
      <c r="O82" s="12"/>
      <c r="P82" s="12"/>
      <c r="Q82" s="12"/>
      <c r="R82" s="12"/>
      <c r="S82" s="12"/>
    </row>
    <row r="83" spans="1:19" ht="30" customHeight="1" x14ac:dyDescent="0.3">
      <c r="A83" s="12"/>
      <c r="B83" s="12"/>
      <c r="C83" s="12"/>
      <c r="D83" s="15"/>
      <c r="E83" s="12"/>
      <c r="F83" s="12"/>
      <c r="G83" s="12"/>
      <c r="H83" s="12"/>
      <c r="I83" s="12"/>
      <c r="J83" s="12"/>
      <c r="K83" s="12"/>
      <c r="L83" s="12"/>
      <c r="M83" s="12"/>
      <c r="N83" s="12"/>
      <c r="O83" s="12"/>
      <c r="P83" s="12"/>
      <c r="Q83" s="12"/>
      <c r="R83" s="12"/>
      <c r="S83" s="12"/>
    </row>
    <row r="84" spans="1:19" ht="30" customHeight="1" x14ac:dyDescent="0.3">
      <c r="A84" s="12"/>
      <c r="B84" s="12"/>
      <c r="C84" s="12"/>
      <c r="D84" s="15"/>
      <c r="E84" s="12"/>
      <c r="F84" s="12"/>
      <c r="G84" s="12"/>
      <c r="H84" s="12"/>
      <c r="I84" s="12"/>
      <c r="J84" s="12"/>
      <c r="K84" s="12"/>
      <c r="L84" s="12"/>
      <c r="M84" s="12"/>
      <c r="N84" s="12"/>
      <c r="O84" s="12"/>
      <c r="P84" s="12"/>
      <c r="Q84" s="12"/>
      <c r="R84" s="12"/>
      <c r="S84" s="12"/>
    </row>
    <row r="85" spans="1:19" ht="30" customHeight="1" x14ac:dyDescent="0.3">
      <c r="A85" s="12"/>
      <c r="B85" s="12"/>
      <c r="C85" s="12"/>
      <c r="D85" s="15"/>
      <c r="E85" s="12"/>
      <c r="F85" s="12"/>
      <c r="G85" s="12"/>
      <c r="H85" s="12"/>
      <c r="I85" s="12"/>
      <c r="J85" s="12"/>
      <c r="K85" s="12"/>
      <c r="L85" s="12"/>
      <c r="M85" s="12"/>
      <c r="N85" s="12"/>
      <c r="O85" s="12"/>
      <c r="P85" s="12"/>
      <c r="Q85" s="12"/>
      <c r="R85" s="12"/>
      <c r="S85" s="12"/>
    </row>
    <row r="86" spans="1:19" ht="30" customHeight="1" x14ac:dyDescent="0.3">
      <c r="A86" s="12"/>
      <c r="B86" s="12"/>
      <c r="C86" s="12"/>
      <c r="D86" s="15"/>
      <c r="E86" s="12"/>
      <c r="F86" s="12"/>
      <c r="G86" s="12"/>
      <c r="H86" s="12"/>
      <c r="I86" s="12"/>
      <c r="J86" s="12"/>
      <c r="K86" s="12"/>
      <c r="L86" s="12"/>
      <c r="M86" s="12"/>
      <c r="N86" s="12"/>
      <c r="O86" s="12"/>
      <c r="P86" s="12"/>
      <c r="Q86" s="12"/>
      <c r="R86" s="12"/>
      <c r="S86" s="12"/>
    </row>
    <row r="87" spans="1:19" ht="30" customHeight="1" x14ac:dyDescent="0.3">
      <c r="A87" s="12"/>
      <c r="B87" s="12"/>
      <c r="C87" s="12"/>
      <c r="D87" s="15"/>
      <c r="E87" s="12"/>
      <c r="F87" s="12"/>
      <c r="G87" s="12"/>
      <c r="H87" s="12"/>
      <c r="I87" s="12"/>
      <c r="J87" s="12"/>
      <c r="K87" s="12"/>
      <c r="L87" s="12"/>
      <c r="M87" s="12"/>
      <c r="N87" s="12"/>
      <c r="O87" s="12"/>
      <c r="P87" s="12"/>
      <c r="Q87" s="12"/>
      <c r="R87" s="12"/>
      <c r="S87" s="12"/>
    </row>
    <row r="88" spans="1:19" ht="30" customHeight="1" x14ac:dyDescent="0.3">
      <c r="A88" s="12"/>
      <c r="B88" s="12"/>
      <c r="C88" s="12"/>
      <c r="D88" s="15"/>
      <c r="E88" s="12"/>
      <c r="F88" s="12"/>
      <c r="G88" s="12"/>
      <c r="H88" s="12"/>
      <c r="I88" s="12"/>
      <c r="J88" s="12"/>
      <c r="K88" s="12"/>
      <c r="L88" s="12"/>
      <c r="M88" s="12"/>
      <c r="N88" s="12"/>
      <c r="O88" s="12"/>
      <c r="P88" s="12"/>
      <c r="Q88" s="12"/>
      <c r="R88" s="12"/>
      <c r="S88" s="12"/>
    </row>
    <row r="89" spans="1:19" ht="30" customHeight="1" x14ac:dyDescent="0.3">
      <c r="A89" s="12"/>
      <c r="B89" s="12"/>
      <c r="C89" s="12"/>
      <c r="D89" s="15"/>
      <c r="E89" s="12"/>
      <c r="F89" s="12"/>
      <c r="G89" s="12"/>
      <c r="H89" s="12"/>
      <c r="I89" s="12"/>
      <c r="J89" s="12"/>
      <c r="K89" s="12"/>
      <c r="L89" s="12"/>
      <c r="M89" s="12"/>
      <c r="N89" s="12"/>
      <c r="O89" s="12"/>
      <c r="P89" s="12"/>
      <c r="Q89" s="12"/>
      <c r="R89" s="12"/>
      <c r="S89" s="12"/>
    </row>
    <row r="90" spans="1:19" ht="30" customHeight="1" x14ac:dyDescent="0.3">
      <c r="A90" s="12"/>
      <c r="B90" s="12"/>
      <c r="C90" s="12"/>
      <c r="D90" s="15"/>
      <c r="E90" s="12"/>
      <c r="F90" s="12"/>
      <c r="G90" s="12"/>
      <c r="H90" s="12"/>
      <c r="I90" s="12"/>
      <c r="J90" s="12"/>
      <c r="K90" s="12"/>
      <c r="L90" s="12"/>
      <c r="M90" s="12"/>
      <c r="N90" s="12"/>
      <c r="O90" s="12"/>
      <c r="P90" s="12"/>
      <c r="Q90" s="12"/>
      <c r="R90" s="12"/>
      <c r="S90" s="12"/>
    </row>
    <row r="91" spans="1:19" ht="30" customHeight="1" x14ac:dyDescent="0.3">
      <c r="A91" s="12"/>
      <c r="B91" s="12"/>
      <c r="C91" s="12"/>
      <c r="D91" s="15"/>
      <c r="E91" s="12"/>
      <c r="F91" s="12"/>
      <c r="G91" s="12"/>
      <c r="H91" s="12"/>
      <c r="I91" s="12"/>
      <c r="J91" s="12"/>
      <c r="K91" s="12"/>
      <c r="L91" s="12"/>
      <c r="M91" s="12"/>
      <c r="N91" s="12"/>
      <c r="O91" s="12"/>
      <c r="P91" s="12"/>
      <c r="Q91" s="12"/>
      <c r="R91" s="12"/>
      <c r="S91" s="12"/>
    </row>
    <row r="92" spans="1:19" ht="30" customHeight="1" x14ac:dyDescent="0.3">
      <c r="A92" s="12"/>
      <c r="B92" s="12"/>
      <c r="C92" s="12"/>
      <c r="D92" s="15"/>
      <c r="E92" s="12"/>
      <c r="F92" s="12"/>
      <c r="G92" s="12"/>
      <c r="H92" s="12"/>
      <c r="I92" s="12"/>
      <c r="J92" s="12"/>
      <c r="K92" s="12"/>
      <c r="L92" s="12"/>
      <c r="M92" s="12"/>
      <c r="N92" s="12"/>
      <c r="O92" s="12"/>
      <c r="P92" s="12"/>
      <c r="Q92" s="12"/>
      <c r="R92" s="12"/>
      <c r="S92" s="12"/>
    </row>
    <row r="93" spans="1:19" ht="30" customHeight="1" x14ac:dyDescent="0.3">
      <c r="A93" s="12"/>
      <c r="B93" s="12"/>
      <c r="C93" s="12"/>
      <c r="D93" s="15"/>
      <c r="E93" s="12"/>
      <c r="F93" s="12"/>
      <c r="G93" s="12"/>
      <c r="H93" s="12"/>
      <c r="I93" s="12"/>
      <c r="J93" s="12"/>
      <c r="K93" s="12"/>
      <c r="L93" s="12"/>
      <c r="M93" s="12"/>
      <c r="N93" s="12"/>
      <c r="O93" s="12"/>
      <c r="P93" s="12"/>
      <c r="Q93" s="12"/>
      <c r="R93" s="12"/>
      <c r="S93" s="12"/>
    </row>
    <row r="94" spans="1:19" ht="30" customHeight="1" x14ac:dyDescent="0.3">
      <c r="A94" s="12"/>
      <c r="B94" s="12"/>
      <c r="C94" s="12"/>
      <c r="D94" s="15"/>
      <c r="E94" s="12"/>
      <c r="F94" s="12"/>
      <c r="G94" s="12"/>
      <c r="H94" s="12"/>
      <c r="I94" s="12"/>
      <c r="J94" s="12"/>
      <c r="K94" s="12"/>
      <c r="L94" s="12"/>
      <c r="M94" s="12"/>
      <c r="N94" s="12"/>
      <c r="O94" s="12"/>
      <c r="P94" s="12"/>
      <c r="Q94" s="12"/>
      <c r="R94" s="12"/>
      <c r="S94" s="12"/>
    </row>
    <row r="95" spans="1:19" ht="30" customHeight="1" x14ac:dyDescent="0.3">
      <c r="A95" s="12"/>
      <c r="B95" s="12"/>
      <c r="C95" s="12"/>
      <c r="D95" s="15"/>
      <c r="E95" s="12"/>
      <c r="F95" s="12"/>
      <c r="G95" s="12"/>
      <c r="H95" s="12"/>
      <c r="I95" s="12"/>
      <c r="J95" s="12"/>
      <c r="K95" s="12"/>
      <c r="L95" s="12"/>
      <c r="M95" s="12"/>
      <c r="N95" s="12"/>
      <c r="O95" s="12"/>
      <c r="P95" s="12"/>
      <c r="Q95" s="12"/>
      <c r="R95" s="12"/>
      <c r="S95" s="12"/>
    </row>
    <row r="96" spans="1:19" ht="30" customHeight="1" x14ac:dyDescent="0.3">
      <c r="A96" s="12"/>
      <c r="B96" s="12"/>
      <c r="C96" s="12"/>
      <c r="D96" s="15"/>
      <c r="E96" s="12"/>
      <c r="F96" s="12"/>
      <c r="G96" s="12"/>
      <c r="H96" s="12"/>
      <c r="I96" s="12"/>
      <c r="J96" s="12"/>
      <c r="K96" s="12"/>
      <c r="L96" s="12"/>
      <c r="M96" s="12"/>
      <c r="N96" s="12"/>
      <c r="O96" s="12"/>
      <c r="P96" s="12"/>
      <c r="Q96" s="12"/>
      <c r="R96" s="12"/>
      <c r="S96" s="12"/>
    </row>
    <row r="97" spans="1:19" ht="30" customHeight="1" x14ac:dyDescent="0.3">
      <c r="A97" s="12"/>
      <c r="B97" s="12"/>
      <c r="C97" s="12"/>
      <c r="D97" s="15"/>
      <c r="E97" s="12"/>
      <c r="F97" s="12"/>
      <c r="G97" s="12"/>
      <c r="H97" s="12"/>
      <c r="I97" s="12"/>
      <c r="J97" s="12"/>
      <c r="K97" s="12"/>
      <c r="L97" s="12"/>
      <c r="M97" s="12"/>
      <c r="N97" s="12"/>
      <c r="O97" s="12"/>
      <c r="P97" s="12"/>
      <c r="Q97" s="12"/>
      <c r="R97" s="12"/>
      <c r="S97" s="12"/>
    </row>
    <row r="98" spans="1:19" ht="30" customHeight="1" x14ac:dyDescent="0.3">
      <c r="A98" s="12"/>
      <c r="B98" s="12"/>
      <c r="C98" s="12"/>
      <c r="D98" s="15"/>
      <c r="E98" s="12"/>
      <c r="F98" s="12"/>
      <c r="G98" s="12"/>
      <c r="H98" s="12"/>
      <c r="I98" s="12"/>
      <c r="J98" s="12"/>
      <c r="K98" s="12"/>
      <c r="L98" s="12"/>
      <c r="M98" s="12"/>
      <c r="N98" s="12"/>
      <c r="O98" s="12"/>
      <c r="P98" s="12"/>
      <c r="Q98" s="12"/>
      <c r="R98" s="12"/>
      <c r="S98" s="12"/>
    </row>
    <row r="99" spans="1:19" ht="30" customHeight="1" x14ac:dyDescent="0.3">
      <c r="A99" s="12"/>
      <c r="B99" s="12"/>
      <c r="C99" s="12"/>
      <c r="D99" s="15"/>
      <c r="E99" s="12"/>
      <c r="F99" s="12"/>
      <c r="G99" s="12"/>
      <c r="H99" s="12"/>
      <c r="I99" s="12"/>
      <c r="J99" s="12"/>
      <c r="K99" s="12"/>
      <c r="L99" s="12"/>
      <c r="M99" s="12"/>
      <c r="N99" s="12"/>
      <c r="O99" s="12"/>
      <c r="P99" s="12"/>
      <c r="Q99" s="12"/>
      <c r="R99" s="12"/>
      <c r="S99" s="12"/>
    </row>
    <row r="100" spans="1:19" ht="30" customHeight="1" x14ac:dyDescent="0.3">
      <c r="A100" s="12"/>
      <c r="B100" s="12"/>
      <c r="C100" s="12"/>
      <c r="D100" s="15"/>
      <c r="E100" s="12"/>
      <c r="F100" s="12"/>
      <c r="G100" s="12"/>
      <c r="H100" s="12"/>
      <c r="I100" s="12"/>
      <c r="J100" s="12"/>
      <c r="K100" s="12"/>
      <c r="L100" s="12"/>
      <c r="M100" s="12"/>
      <c r="N100" s="12"/>
      <c r="O100" s="12"/>
      <c r="P100" s="12"/>
      <c r="Q100" s="12"/>
      <c r="R100" s="12"/>
      <c r="S100" s="12"/>
    </row>
    <row r="101" spans="1:19" ht="30" customHeight="1" x14ac:dyDescent="0.3">
      <c r="A101" s="12"/>
      <c r="B101" s="12"/>
      <c r="C101" s="12"/>
      <c r="D101" s="15"/>
      <c r="E101" s="12"/>
      <c r="F101" s="12"/>
      <c r="G101" s="12"/>
      <c r="H101" s="12"/>
      <c r="I101" s="12"/>
      <c r="J101" s="12"/>
      <c r="K101" s="12"/>
      <c r="L101" s="12"/>
      <c r="M101" s="12"/>
      <c r="N101" s="12"/>
      <c r="O101" s="12"/>
      <c r="P101" s="12"/>
      <c r="Q101" s="12"/>
      <c r="R101" s="12"/>
      <c r="S101" s="12"/>
    </row>
    <row r="102" spans="1:19" ht="30" customHeight="1" x14ac:dyDescent="0.3">
      <c r="A102" s="12"/>
      <c r="B102" s="12"/>
      <c r="C102" s="12"/>
      <c r="D102" s="15"/>
      <c r="E102" s="12"/>
      <c r="F102" s="12"/>
      <c r="G102" s="12"/>
      <c r="H102" s="12"/>
      <c r="I102" s="12"/>
      <c r="J102" s="12"/>
      <c r="K102" s="12"/>
      <c r="L102" s="12"/>
      <c r="M102" s="12"/>
      <c r="N102" s="12"/>
      <c r="O102" s="12"/>
      <c r="P102" s="12"/>
      <c r="Q102" s="12"/>
      <c r="R102" s="12"/>
      <c r="S102" s="12"/>
    </row>
    <row r="103" spans="1:19" ht="30" customHeight="1" x14ac:dyDescent="0.3">
      <c r="A103" s="12"/>
      <c r="B103" s="12"/>
      <c r="C103" s="12"/>
      <c r="D103" s="15"/>
      <c r="E103" s="12"/>
      <c r="F103" s="12"/>
      <c r="G103" s="12"/>
      <c r="H103" s="12"/>
      <c r="I103" s="12"/>
      <c r="J103" s="12"/>
      <c r="K103" s="12"/>
      <c r="L103" s="12"/>
      <c r="M103" s="12"/>
      <c r="N103" s="12"/>
      <c r="O103" s="12"/>
      <c r="P103" s="12"/>
      <c r="Q103" s="12"/>
      <c r="R103" s="12"/>
      <c r="S103" s="12"/>
    </row>
    <row r="104" spans="1:19" ht="30" customHeight="1" x14ac:dyDescent="0.3">
      <c r="A104" s="12"/>
      <c r="B104" s="12"/>
      <c r="C104" s="12"/>
      <c r="D104" s="15"/>
      <c r="E104" s="12"/>
      <c r="F104" s="12"/>
      <c r="G104" s="12"/>
      <c r="H104" s="12"/>
      <c r="I104" s="12"/>
      <c r="J104" s="12"/>
      <c r="K104" s="12"/>
      <c r="L104" s="12"/>
      <c r="M104" s="12"/>
      <c r="N104" s="12"/>
      <c r="O104" s="12"/>
      <c r="P104" s="12"/>
      <c r="Q104" s="12"/>
      <c r="R104" s="12"/>
      <c r="S104" s="12"/>
    </row>
    <row r="105" spans="1:19" ht="30" customHeight="1" x14ac:dyDescent="0.3">
      <c r="A105" s="12"/>
      <c r="B105" s="12"/>
      <c r="C105" s="12"/>
      <c r="D105" s="15"/>
      <c r="E105" s="12"/>
      <c r="F105" s="12"/>
      <c r="G105" s="12"/>
      <c r="H105" s="12"/>
      <c r="I105" s="12"/>
      <c r="J105" s="12"/>
      <c r="K105" s="12"/>
      <c r="L105" s="12"/>
      <c r="M105" s="12"/>
      <c r="N105" s="12"/>
      <c r="O105" s="12"/>
      <c r="P105" s="12"/>
      <c r="Q105" s="12"/>
      <c r="R105" s="12"/>
      <c r="S105" s="12"/>
    </row>
    <row r="106" spans="1:19" ht="30" customHeight="1" x14ac:dyDescent="0.3">
      <c r="A106" s="12"/>
      <c r="B106" s="12"/>
      <c r="C106" s="12"/>
      <c r="D106" s="15"/>
      <c r="E106" s="12"/>
      <c r="F106" s="12"/>
      <c r="G106" s="12"/>
      <c r="H106" s="12"/>
      <c r="I106" s="12"/>
      <c r="J106" s="12"/>
      <c r="K106" s="12"/>
      <c r="L106" s="12"/>
      <c r="M106" s="12"/>
      <c r="N106" s="12"/>
      <c r="O106" s="12"/>
      <c r="P106" s="12"/>
      <c r="Q106" s="12"/>
      <c r="R106" s="12"/>
      <c r="S106" s="12"/>
    </row>
    <row r="107" spans="1:19" ht="30" customHeight="1" x14ac:dyDescent="0.3">
      <c r="A107" s="12"/>
      <c r="B107" s="12"/>
      <c r="C107" s="12"/>
      <c r="D107" s="15"/>
      <c r="E107" s="12"/>
      <c r="F107" s="12"/>
      <c r="G107" s="12"/>
      <c r="H107" s="12"/>
      <c r="I107" s="12"/>
      <c r="J107" s="12"/>
      <c r="K107" s="12"/>
      <c r="L107" s="12"/>
      <c r="M107" s="12"/>
      <c r="N107" s="12"/>
      <c r="O107" s="12"/>
      <c r="P107" s="12"/>
      <c r="Q107" s="12"/>
      <c r="R107" s="12"/>
      <c r="S107" s="12"/>
    </row>
  </sheetData>
  <autoFilter ref="A6:S107" xr:uid="{00000000-0009-0000-0000-000002000000}"/>
  <mergeCells count="8">
    <mergeCell ref="Q5:S5"/>
    <mergeCell ref="F5:H5"/>
    <mergeCell ref="I5:K5"/>
    <mergeCell ref="A1:S1"/>
    <mergeCell ref="A5:E5"/>
    <mergeCell ref="A3:S3"/>
    <mergeCell ref="L5:P5"/>
    <mergeCell ref="A2:S2"/>
  </mergeCells>
  <dataValidations count="4">
    <dataValidation type="date" operator="greaterThan" allowBlank="1" errorTitle="Fecha no válida" error="Escribe una fecha válida." sqref="D7:D107" xr:uid="{00000000-0002-0000-0200-000000000000}">
      <formula1>DATE(2000,1,1)</formula1>
      <formula2>0</formula2>
    </dataValidation>
    <dataValidation type="list" allowBlank="1" errorTitle="Valor no admitido" error="Selecciona un valor de la lista desplegable." sqref="I7:I107" xr:uid="{00000000-0002-0000-0200-000001000000}">
      <formula1>LST_MOSCOW</formula1>
      <formula2>0</formula2>
    </dataValidation>
    <dataValidation type="list" allowBlank="1" errorTitle="Valor no admitido" error="Selecciona un valor de la lista desplegable." sqref="J7:J107" xr:uid="{00000000-0002-0000-0200-000002000000}">
      <formula1>LST_IMPORTANCIA</formula1>
      <formula2>0</formula2>
    </dataValidation>
    <dataValidation type="list" allowBlank="1" errorTitle="Valor no admitido" error="Selecciona un valor de la lista desplegable." sqref="K7:K107" xr:uid="{00000000-0002-0000-0200-000003000000}">
      <formula1>LST_ESTADO_REQ</formula1>
      <formula2>0</formula2>
    </dataValidation>
  </dataValidations>
  <pageMargins left="0.75" right="0.75" top="1" bottom="1" header="0.511811023622047" footer="0.5"/>
  <pageSetup fitToHeight="0" orientation="landscape" horizontalDpi="300" verticalDpi="300"/>
  <headerFooter>
    <oddFooter>&amp;L&amp;"Tahoma,Regular"&amp;7 Requisitos funcionales&amp;C&amp;"Tahoma,Regular"&amp;7 Universidad Católica de Colombia · Facultad de Ingeniería · Vigilada Mineducación&amp;R&amp;"Tahoma,Regular"&amp;7 Página &amp;P de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107"/>
  <sheetViews>
    <sheetView showGridLines="0" zoomScaleNormal="100" workbookViewId="0">
      <pane xSplit="1" ySplit="6" topLeftCell="L26" activePane="bottomRight" state="frozen"/>
      <selection pane="topRight" activeCell="B1" sqref="B1"/>
      <selection pane="bottomLeft" activeCell="A7" sqref="A7"/>
      <selection pane="bottomRight" activeCell="S9" sqref="S9"/>
    </sheetView>
  </sheetViews>
  <sheetFormatPr baseColWidth="10" defaultColWidth="8.6640625" defaultRowHeight="14.4" x14ac:dyDescent="0.3"/>
  <cols>
    <col min="1" max="1" width="14" customWidth="1"/>
    <col min="2" max="2" width="30" customWidth="1"/>
    <col min="3" max="3" width="9" customWidth="1"/>
    <col min="4" max="4" width="15" customWidth="1"/>
    <col min="5" max="5" width="22" customWidth="1"/>
    <col min="6" max="6" width="42" customWidth="1"/>
    <col min="7" max="7" width="24" customWidth="1"/>
    <col min="8" max="8" width="38" customWidth="1"/>
    <col min="9" max="9" width="28" customWidth="1"/>
    <col min="10" max="10" width="32" customWidth="1"/>
    <col min="11" max="11" width="17" customWidth="1"/>
    <col min="12" max="12" width="12" customWidth="1"/>
    <col min="13" max="13" width="14" customWidth="1"/>
    <col min="14" max="14" width="32" customWidth="1"/>
    <col min="15" max="15" width="16" customWidth="1"/>
    <col min="16" max="16" width="22" customWidth="1"/>
    <col min="17" max="17" width="36" customWidth="1"/>
    <col min="18" max="18" width="20" customWidth="1"/>
    <col min="19" max="19" width="26" customWidth="1"/>
    <col min="20" max="20" width="22" customWidth="1"/>
    <col min="21" max="21" width="30" customWidth="1"/>
  </cols>
  <sheetData>
    <row r="1" spans="1:21" ht="25.5" customHeight="1" x14ac:dyDescent="0.3">
      <c r="A1" s="38" t="s">
        <v>173</v>
      </c>
      <c r="B1" s="30"/>
      <c r="C1" s="30"/>
      <c r="D1" s="30"/>
      <c r="E1" s="30"/>
      <c r="F1" s="30"/>
      <c r="G1" s="30"/>
      <c r="H1" s="30"/>
      <c r="I1" s="30"/>
      <c r="J1" s="30"/>
      <c r="K1" s="30"/>
      <c r="L1" s="30"/>
      <c r="M1" s="30"/>
      <c r="N1" s="30"/>
      <c r="O1" s="30"/>
      <c r="P1" s="30"/>
      <c r="Q1" s="30"/>
      <c r="R1" s="30"/>
      <c r="S1" s="30"/>
      <c r="T1" s="30"/>
      <c r="U1" s="30"/>
    </row>
    <row r="2" spans="1:21" ht="15" customHeight="1" x14ac:dyDescent="0.3">
      <c r="A2" s="40" t="s">
        <v>799</v>
      </c>
      <c r="B2" s="30"/>
      <c r="C2" s="30"/>
      <c r="D2" s="30"/>
      <c r="E2" s="30"/>
      <c r="F2" s="30"/>
      <c r="G2" s="30"/>
      <c r="H2" s="30"/>
      <c r="I2" s="30"/>
      <c r="J2" s="30"/>
      <c r="K2" s="30"/>
      <c r="L2" s="30"/>
      <c r="M2" s="30"/>
      <c r="N2" s="30"/>
      <c r="O2" s="30"/>
      <c r="P2" s="30"/>
      <c r="Q2" s="30"/>
      <c r="R2" s="30"/>
      <c r="S2" s="30"/>
      <c r="T2" s="30"/>
      <c r="U2" s="30"/>
    </row>
    <row r="3" spans="1:21" ht="15.75" customHeight="1" x14ac:dyDescent="0.3">
      <c r="A3" s="42" t="s">
        <v>800</v>
      </c>
      <c r="B3" s="30"/>
      <c r="C3" s="30"/>
      <c r="D3" s="30"/>
      <c r="E3" s="30"/>
      <c r="F3" s="30"/>
      <c r="G3" s="30"/>
      <c r="H3" s="30"/>
      <c r="I3" s="30"/>
      <c r="J3" s="30"/>
      <c r="K3" s="30"/>
      <c r="L3" s="30"/>
      <c r="M3" s="30"/>
      <c r="N3" s="30"/>
      <c r="O3" s="30"/>
      <c r="P3" s="30"/>
      <c r="Q3" s="30"/>
      <c r="R3" s="30"/>
      <c r="S3" s="30"/>
      <c r="T3" s="30"/>
      <c r="U3" s="30"/>
    </row>
    <row r="4" spans="1:21" ht="6" customHeight="1" x14ac:dyDescent="0.3"/>
    <row r="5" spans="1:21" ht="18" customHeight="1" x14ac:dyDescent="0.3">
      <c r="A5" s="41" t="s">
        <v>3</v>
      </c>
      <c r="B5" s="32"/>
      <c r="C5" s="32"/>
      <c r="D5" s="32"/>
      <c r="E5" s="33"/>
      <c r="F5" s="41" t="s">
        <v>282</v>
      </c>
      <c r="G5" s="32"/>
      <c r="H5" s="33"/>
      <c r="I5" s="41" t="s">
        <v>283</v>
      </c>
      <c r="J5" s="32"/>
      <c r="K5" s="32"/>
      <c r="L5" s="32"/>
      <c r="M5" s="33"/>
      <c r="N5" s="41" t="s">
        <v>801</v>
      </c>
      <c r="O5" s="32"/>
      <c r="P5" s="32"/>
      <c r="Q5" s="32"/>
      <c r="R5" s="33"/>
      <c r="S5" s="41" t="s">
        <v>285</v>
      </c>
      <c r="T5" s="32"/>
      <c r="U5" s="33"/>
    </row>
    <row r="6" spans="1:21" ht="33.75" customHeight="1" x14ac:dyDescent="0.3">
      <c r="A6" s="14" t="s">
        <v>286</v>
      </c>
      <c r="B6" s="14" t="s">
        <v>287</v>
      </c>
      <c r="C6" s="14" t="s">
        <v>288</v>
      </c>
      <c r="D6" s="14" t="s">
        <v>289</v>
      </c>
      <c r="E6" s="14" t="s">
        <v>290</v>
      </c>
      <c r="F6" s="14" t="s">
        <v>291</v>
      </c>
      <c r="G6" s="14" t="s">
        <v>292</v>
      </c>
      <c r="H6" s="14" t="s">
        <v>293</v>
      </c>
      <c r="I6" s="14" t="s">
        <v>802</v>
      </c>
      <c r="J6" s="14" t="s">
        <v>803</v>
      </c>
      <c r="K6" s="14" t="s">
        <v>294</v>
      </c>
      <c r="L6" s="14" t="s">
        <v>295</v>
      </c>
      <c r="M6" s="14" t="s">
        <v>296</v>
      </c>
      <c r="N6" s="14" t="s">
        <v>804</v>
      </c>
      <c r="O6" s="14" t="s">
        <v>805</v>
      </c>
      <c r="P6" s="14" t="s">
        <v>806</v>
      </c>
      <c r="Q6" s="14" t="s">
        <v>807</v>
      </c>
      <c r="R6" s="14" t="s">
        <v>808</v>
      </c>
      <c r="S6" s="14" t="s">
        <v>809</v>
      </c>
      <c r="T6" s="14" t="s">
        <v>302</v>
      </c>
      <c r="U6" s="14" t="s">
        <v>304</v>
      </c>
    </row>
    <row r="7" spans="1:21" ht="57" x14ac:dyDescent="0.3">
      <c r="A7" s="18" t="s">
        <v>810</v>
      </c>
      <c r="B7" s="18" t="s">
        <v>811</v>
      </c>
      <c r="C7" s="18" t="s">
        <v>169</v>
      </c>
      <c r="D7" s="19">
        <v>46265</v>
      </c>
      <c r="E7" s="18" t="s">
        <v>166</v>
      </c>
      <c r="F7" s="18" t="s">
        <v>812</v>
      </c>
      <c r="G7" s="18" t="s">
        <v>306</v>
      </c>
      <c r="H7" s="18" t="s">
        <v>813</v>
      </c>
      <c r="I7" s="28" t="str">
        <f>IFERROR(INDEX(Listas!$B$7:$B$46,MATCH(J7,Listas!$A$7:$A$46,0)),"")</f>
        <v>Seguridad (security)</v>
      </c>
      <c r="J7" s="18" t="s">
        <v>814</v>
      </c>
      <c r="K7" s="18" t="s">
        <v>308</v>
      </c>
      <c r="L7" s="18" t="s">
        <v>309</v>
      </c>
      <c r="M7" s="18" t="s">
        <v>310</v>
      </c>
      <c r="N7" s="18" t="s">
        <v>815</v>
      </c>
      <c r="O7" s="18" t="s">
        <v>816</v>
      </c>
      <c r="P7" s="18" t="s">
        <v>817</v>
      </c>
      <c r="Q7" s="18" t="s">
        <v>818</v>
      </c>
      <c r="R7" s="18" t="s">
        <v>819</v>
      </c>
      <c r="S7" s="18" t="s">
        <v>820</v>
      </c>
      <c r="T7" s="18" t="s">
        <v>313</v>
      </c>
      <c r="U7" s="18" t="s">
        <v>821</v>
      </c>
    </row>
    <row r="8" spans="1:21" ht="30" customHeight="1" x14ac:dyDescent="0.3">
      <c r="A8" s="18" t="s">
        <v>822</v>
      </c>
      <c r="B8" s="18" t="s">
        <v>823</v>
      </c>
      <c r="C8" s="18" t="s">
        <v>169</v>
      </c>
      <c r="D8" s="19">
        <v>46265</v>
      </c>
      <c r="E8" s="18" t="s">
        <v>166</v>
      </c>
      <c r="F8" s="18" t="s">
        <v>824</v>
      </c>
      <c r="G8" s="18" t="s">
        <v>306</v>
      </c>
      <c r="H8" s="18" t="s">
        <v>825</v>
      </c>
      <c r="I8" s="20" t="str">
        <f>IFERROR(INDEX(Listas!$B$7:$B$46,MATCH(J8,Listas!$A$7:$A$46,0)),"")</f>
        <v>Seguridad (security)</v>
      </c>
      <c r="J8" s="18" t="s">
        <v>826</v>
      </c>
      <c r="K8" s="18" t="s">
        <v>308</v>
      </c>
      <c r="L8" s="18" t="s">
        <v>309</v>
      </c>
      <c r="M8" s="18" t="s">
        <v>509</v>
      </c>
      <c r="N8" s="18" t="s">
        <v>827</v>
      </c>
      <c r="O8" s="18" t="s">
        <v>816</v>
      </c>
      <c r="P8" s="18" t="s">
        <v>828</v>
      </c>
      <c r="Q8" s="18" t="s">
        <v>829</v>
      </c>
      <c r="R8" s="18" t="s">
        <v>830</v>
      </c>
      <c r="S8" s="18" t="s">
        <v>831</v>
      </c>
      <c r="T8" s="18" t="s">
        <v>313</v>
      </c>
      <c r="U8" s="18" t="s">
        <v>832</v>
      </c>
    </row>
    <row r="9" spans="1:21" ht="30" customHeight="1" x14ac:dyDescent="0.3">
      <c r="A9" s="18" t="s">
        <v>833</v>
      </c>
      <c r="B9" s="18" t="s">
        <v>834</v>
      </c>
      <c r="C9" s="18" t="s">
        <v>169</v>
      </c>
      <c r="D9" s="19">
        <v>46265</v>
      </c>
      <c r="E9" s="18" t="s">
        <v>166</v>
      </c>
      <c r="F9" s="18" t="s">
        <v>835</v>
      </c>
      <c r="G9" s="18" t="s">
        <v>306</v>
      </c>
      <c r="H9" s="18" t="s">
        <v>836</v>
      </c>
      <c r="I9" s="20" t="str">
        <f>IFERROR(INDEX(Listas!$B$7:$B$46,MATCH(J9,Listas!$A$7:$A$46,0)),"")</f>
        <v>Seguridad (security)</v>
      </c>
      <c r="J9" s="18" t="s">
        <v>814</v>
      </c>
      <c r="K9" s="18" t="s">
        <v>308</v>
      </c>
      <c r="L9" s="18" t="s">
        <v>309</v>
      </c>
      <c r="M9" s="18" t="s">
        <v>310</v>
      </c>
      <c r="N9" s="18" t="s">
        <v>837</v>
      </c>
      <c r="O9" s="18" t="s">
        <v>838</v>
      </c>
      <c r="P9" s="18" t="s">
        <v>839</v>
      </c>
      <c r="Q9" s="18" t="s">
        <v>840</v>
      </c>
      <c r="R9" s="18" t="s">
        <v>830</v>
      </c>
      <c r="S9" s="18" t="s">
        <v>1401</v>
      </c>
      <c r="T9" s="18" t="s">
        <v>822</v>
      </c>
      <c r="U9" s="18"/>
    </row>
    <row r="10" spans="1:21" ht="30" customHeight="1" x14ac:dyDescent="0.3">
      <c r="A10" s="18" t="s">
        <v>841</v>
      </c>
      <c r="B10" s="18" t="s">
        <v>842</v>
      </c>
      <c r="C10" s="18" t="s">
        <v>169</v>
      </c>
      <c r="D10" s="19">
        <v>46265</v>
      </c>
      <c r="E10" s="18" t="s">
        <v>166</v>
      </c>
      <c r="F10" s="18" t="s">
        <v>843</v>
      </c>
      <c r="G10" s="18" t="s">
        <v>389</v>
      </c>
      <c r="H10" s="18" t="s">
        <v>844</v>
      </c>
      <c r="I10" s="20" t="str">
        <f>IFERROR(INDEX(Listas!$B$7:$B$46,MATCH(J10,Listas!$A$7:$A$46,0)),"")</f>
        <v>Seguridad (security)</v>
      </c>
      <c r="J10" s="18" t="s">
        <v>814</v>
      </c>
      <c r="K10" s="18" t="s">
        <v>308</v>
      </c>
      <c r="L10" s="18" t="s">
        <v>309</v>
      </c>
      <c r="M10" s="18" t="s">
        <v>310</v>
      </c>
      <c r="N10" s="18" t="s">
        <v>845</v>
      </c>
      <c r="O10" s="18" t="s">
        <v>816</v>
      </c>
      <c r="P10" s="18" t="s">
        <v>846</v>
      </c>
      <c r="Q10" s="18" t="s">
        <v>847</v>
      </c>
      <c r="R10" s="18" t="s">
        <v>819</v>
      </c>
      <c r="S10" s="18" t="s">
        <v>848</v>
      </c>
      <c r="T10" s="18" t="s">
        <v>313</v>
      </c>
      <c r="U10" s="18"/>
    </row>
    <row r="11" spans="1:21" ht="30" customHeight="1" x14ac:dyDescent="0.3">
      <c r="A11" s="18" t="s">
        <v>849</v>
      </c>
      <c r="B11" s="18" t="s">
        <v>850</v>
      </c>
      <c r="C11" s="18" t="s">
        <v>169</v>
      </c>
      <c r="D11" s="19">
        <v>46265</v>
      </c>
      <c r="E11" s="18" t="s">
        <v>166</v>
      </c>
      <c r="F11" s="18" t="s">
        <v>851</v>
      </c>
      <c r="G11" s="18" t="s">
        <v>389</v>
      </c>
      <c r="H11" s="18" t="s">
        <v>852</v>
      </c>
      <c r="I11" s="20" t="str">
        <f>IFERROR(INDEX(Listas!$B$7:$B$46,MATCH(J11,Listas!$A$7:$A$46,0)),"")</f>
        <v>Seguridad (security)</v>
      </c>
      <c r="J11" s="18" t="s">
        <v>853</v>
      </c>
      <c r="K11" s="18" t="s">
        <v>308</v>
      </c>
      <c r="L11" s="18" t="s">
        <v>309</v>
      </c>
      <c r="M11" s="18" t="s">
        <v>310</v>
      </c>
      <c r="N11" s="18" t="s">
        <v>854</v>
      </c>
      <c r="O11" s="18" t="s">
        <v>838</v>
      </c>
      <c r="P11" s="18" t="s">
        <v>855</v>
      </c>
      <c r="Q11" s="18" t="s">
        <v>856</v>
      </c>
      <c r="R11" s="18" t="s">
        <v>830</v>
      </c>
      <c r="S11" s="18" t="s">
        <v>857</v>
      </c>
      <c r="T11" s="18" t="s">
        <v>313</v>
      </c>
      <c r="U11" s="18"/>
    </row>
    <row r="12" spans="1:21" ht="30" customHeight="1" x14ac:dyDescent="0.3">
      <c r="A12" s="18" t="s">
        <v>858</v>
      </c>
      <c r="B12" s="18" t="s">
        <v>859</v>
      </c>
      <c r="C12" s="18" t="s">
        <v>169</v>
      </c>
      <c r="D12" s="19">
        <v>46265</v>
      </c>
      <c r="E12" s="18" t="s">
        <v>166</v>
      </c>
      <c r="F12" s="18" t="s">
        <v>860</v>
      </c>
      <c r="G12" s="18" t="s">
        <v>389</v>
      </c>
      <c r="H12" s="18" t="s">
        <v>861</v>
      </c>
      <c r="I12" s="20" t="str">
        <f>IFERROR(INDEX(Listas!$B$7:$B$46,MATCH(J12,Listas!$A$7:$A$46,0)),"")</f>
        <v>Seguridad (security)</v>
      </c>
      <c r="J12" s="18" t="s">
        <v>862</v>
      </c>
      <c r="K12" s="18" t="s">
        <v>308</v>
      </c>
      <c r="L12" s="18" t="s">
        <v>309</v>
      </c>
      <c r="M12" s="18" t="s">
        <v>310</v>
      </c>
      <c r="N12" s="18" t="s">
        <v>863</v>
      </c>
      <c r="O12" s="18" t="s">
        <v>838</v>
      </c>
      <c r="P12" s="18" t="s">
        <v>864</v>
      </c>
      <c r="Q12" s="18" t="s">
        <v>865</v>
      </c>
      <c r="R12" s="18" t="s">
        <v>830</v>
      </c>
      <c r="S12" s="18" t="s">
        <v>866</v>
      </c>
      <c r="T12" s="18" t="s">
        <v>849</v>
      </c>
      <c r="U12" s="18"/>
    </row>
    <row r="13" spans="1:21" ht="30" customHeight="1" x14ac:dyDescent="0.3">
      <c r="A13" s="18" t="s">
        <v>867</v>
      </c>
      <c r="B13" s="18" t="s">
        <v>868</v>
      </c>
      <c r="C13" s="18" t="s">
        <v>169</v>
      </c>
      <c r="D13" s="19">
        <v>46265</v>
      </c>
      <c r="E13" s="18" t="s">
        <v>166</v>
      </c>
      <c r="F13" s="18" t="s">
        <v>869</v>
      </c>
      <c r="G13" s="18" t="s">
        <v>306</v>
      </c>
      <c r="H13" s="18" t="s">
        <v>870</v>
      </c>
      <c r="I13" s="20" t="str">
        <f>IFERROR(INDEX(Listas!$B$7:$B$46,MATCH(J13,Listas!$A$7:$A$46,0)),"")</f>
        <v>Seguridad (security)</v>
      </c>
      <c r="J13" s="18" t="s">
        <v>814</v>
      </c>
      <c r="K13" s="18" t="s">
        <v>308</v>
      </c>
      <c r="L13" s="18" t="s">
        <v>309</v>
      </c>
      <c r="M13" s="18" t="s">
        <v>310</v>
      </c>
      <c r="N13" s="18" t="s">
        <v>871</v>
      </c>
      <c r="O13" s="18" t="s">
        <v>816</v>
      </c>
      <c r="P13" s="18" t="s">
        <v>872</v>
      </c>
      <c r="Q13" s="18" t="s">
        <v>873</v>
      </c>
      <c r="R13" s="18" t="s">
        <v>830</v>
      </c>
      <c r="S13" s="18" t="s">
        <v>355</v>
      </c>
      <c r="T13" s="18" t="s">
        <v>822</v>
      </c>
      <c r="U13" s="18"/>
    </row>
    <row r="14" spans="1:21" ht="30" customHeight="1" x14ac:dyDescent="0.3">
      <c r="A14" s="18" t="s">
        <v>874</v>
      </c>
      <c r="B14" s="18" t="s">
        <v>875</v>
      </c>
      <c r="C14" s="18" t="s">
        <v>169</v>
      </c>
      <c r="D14" s="19">
        <v>46265</v>
      </c>
      <c r="E14" s="18" t="s">
        <v>166</v>
      </c>
      <c r="F14" s="18" t="s">
        <v>876</v>
      </c>
      <c r="G14" s="18" t="s">
        <v>306</v>
      </c>
      <c r="H14" s="18" t="s">
        <v>877</v>
      </c>
      <c r="I14" s="20" t="str">
        <f>IFERROR(INDEX(Listas!$B$7:$B$46,MATCH(J14,Listas!$A$7:$A$46,0)),"")</f>
        <v>Seguridad (security)</v>
      </c>
      <c r="J14" s="18" t="s">
        <v>814</v>
      </c>
      <c r="K14" s="18" t="s">
        <v>308</v>
      </c>
      <c r="L14" s="18" t="s">
        <v>309</v>
      </c>
      <c r="M14" s="18" t="s">
        <v>310</v>
      </c>
      <c r="N14" s="18" t="s">
        <v>878</v>
      </c>
      <c r="O14" s="18" t="s">
        <v>838</v>
      </c>
      <c r="P14" s="18" t="s">
        <v>879</v>
      </c>
      <c r="Q14" s="18" t="s">
        <v>880</v>
      </c>
      <c r="R14" s="18" t="s">
        <v>830</v>
      </c>
      <c r="S14" s="18" t="s">
        <v>881</v>
      </c>
      <c r="T14" s="18" t="s">
        <v>833</v>
      </c>
      <c r="U14" s="18"/>
    </row>
    <row r="15" spans="1:21" ht="30" customHeight="1" x14ac:dyDescent="0.3">
      <c r="A15" s="18" t="s">
        <v>882</v>
      </c>
      <c r="B15" s="18" t="s">
        <v>883</v>
      </c>
      <c r="C15" s="18" t="s">
        <v>169</v>
      </c>
      <c r="D15" s="19">
        <v>46265</v>
      </c>
      <c r="E15" s="18" t="s">
        <v>166</v>
      </c>
      <c r="F15" s="18" t="s">
        <v>884</v>
      </c>
      <c r="G15" s="18" t="s">
        <v>620</v>
      </c>
      <c r="H15" s="18" t="s">
        <v>885</v>
      </c>
      <c r="I15" s="20" t="str">
        <f>IFERROR(INDEX(Listas!$B$7:$B$46,MATCH(J15,Listas!$A$7:$A$46,0)),"")</f>
        <v>Eficiencia de desempeño</v>
      </c>
      <c r="J15" s="18" t="s">
        <v>886</v>
      </c>
      <c r="K15" s="18" t="s">
        <v>347</v>
      </c>
      <c r="L15" s="18" t="s">
        <v>348</v>
      </c>
      <c r="M15" s="18" t="s">
        <v>310</v>
      </c>
      <c r="N15" s="18" t="s">
        <v>887</v>
      </c>
      <c r="O15" s="18" t="s">
        <v>888</v>
      </c>
      <c r="P15" s="18" t="s">
        <v>889</v>
      </c>
      <c r="Q15" s="18" t="s">
        <v>890</v>
      </c>
      <c r="R15" s="18" t="s">
        <v>830</v>
      </c>
      <c r="S15" s="18" t="s">
        <v>891</v>
      </c>
      <c r="T15" s="18" t="s">
        <v>313</v>
      </c>
      <c r="U15" s="18" t="s">
        <v>892</v>
      </c>
    </row>
    <row r="16" spans="1:21" ht="30" customHeight="1" x14ac:dyDescent="0.3">
      <c r="A16" s="18" t="s">
        <v>893</v>
      </c>
      <c r="B16" s="18" t="s">
        <v>894</v>
      </c>
      <c r="C16" s="18" t="s">
        <v>169</v>
      </c>
      <c r="D16" s="19">
        <v>46265</v>
      </c>
      <c r="E16" s="18" t="s">
        <v>166</v>
      </c>
      <c r="F16" s="18" t="s">
        <v>895</v>
      </c>
      <c r="G16" s="18" t="s">
        <v>896</v>
      </c>
      <c r="H16" s="18" t="s">
        <v>897</v>
      </c>
      <c r="I16" s="20" t="str">
        <f>IFERROR(INDEX(Listas!$B$7:$B$46,MATCH(J16,Listas!$A$7:$A$46,0)),"")</f>
        <v>Eficiencia de desempeño</v>
      </c>
      <c r="J16" s="18" t="s">
        <v>886</v>
      </c>
      <c r="K16" s="18" t="s">
        <v>308</v>
      </c>
      <c r="L16" s="18" t="s">
        <v>309</v>
      </c>
      <c r="M16" s="18" t="s">
        <v>310</v>
      </c>
      <c r="N16" s="18" t="s">
        <v>898</v>
      </c>
      <c r="O16" s="18" t="s">
        <v>888</v>
      </c>
      <c r="P16" s="18" t="s">
        <v>899</v>
      </c>
      <c r="Q16" s="18" t="s">
        <v>900</v>
      </c>
      <c r="R16" s="18" t="s">
        <v>830</v>
      </c>
      <c r="S16" s="18" t="s">
        <v>901</v>
      </c>
      <c r="T16" s="18" t="s">
        <v>882</v>
      </c>
      <c r="U16" s="18"/>
    </row>
    <row r="17" spans="1:21" ht="30" customHeight="1" x14ac:dyDescent="0.3">
      <c r="A17" s="18" t="s">
        <v>902</v>
      </c>
      <c r="B17" s="18" t="s">
        <v>903</v>
      </c>
      <c r="C17" s="18" t="s">
        <v>169</v>
      </c>
      <c r="D17" s="19">
        <v>46265</v>
      </c>
      <c r="E17" s="18" t="s">
        <v>166</v>
      </c>
      <c r="F17" s="18" t="s">
        <v>904</v>
      </c>
      <c r="G17" s="18" t="s">
        <v>389</v>
      </c>
      <c r="H17" s="18" t="s">
        <v>905</v>
      </c>
      <c r="I17" s="20" t="str">
        <f>IFERROR(INDEX(Listas!$B$7:$B$46,MATCH(J17,Listas!$A$7:$A$46,0)),"")</f>
        <v>Eficiencia de desempeño</v>
      </c>
      <c r="J17" s="18" t="s">
        <v>886</v>
      </c>
      <c r="K17" s="18" t="s">
        <v>308</v>
      </c>
      <c r="L17" s="18" t="s">
        <v>309</v>
      </c>
      <c r="M17" s="18" t="s">
        <v>310</v>
      </c>
      <c r="N17" s="18" t="s">
        <v>906</v>
      </c>
      <c r="O17" s="18" t="s">
        <v>816</v>
      </c>
      <c r="P17" s="18" t="s">
        <v>907</v>
      </c>
      <c r="Q17" s="18" t="s">
        <v>908</v>
      </c>
      <c r="R17" s="18" t="s">
        <v>819</v>
      </c>
      <c r="S17" s="18" t="s">
        <v>909</v>
      </c>
      <c r="T17" s="18" t="s">
        <v>313</v>
      </c>
      <c r="U17" s="18"/>
    </row>
    <row r="18" spans="1:21" ht="30" customHeight="1" x14ac:dyDescent="0.3">
      <c r="A18" s="18" t="s">
        <v>910</v>
      </c>
      <c r="B18" s="18" t="s">
        <v>911</v>
      </c>
      <c r="C18" s="18" t="s">
        <v>169</v>
      </c>
      <c r="D18" s="19">
        <v>46265</v>
      </c>
      <c r="E18" s="18" t="s">
        <v>166</v>
      </c>
      <c r="F18" s="18" t="s">
        <v>912</v>
      </c>
      <c r="G18" s="18" t="s">
        <v>913</v>
      </c>
      <c r="H18" s="18" t="s">
        <v>914</v>
      </c>
      <c r="I18" s="20" t="str">
        <f>IFERROR(INDEX(Listas!$B$7:$B$46,MATCH(J18,Listas!$A$7:$A$46,0)),"")</f>
        <v>Fiabilidad</v>
      </c>
      <c r="J18" s="18" t="s">
        <v>915</v>
      </c>
      <c r="K18" s="18" t="s">
        <v>347</v>
      </c>
      <c r="L18" s="18" t="s">
        <v>348</v>
      </c>
      <c r="M18" s="18" t="s">
        <v>310</v>
      </c>
      <c r="N18" s="18" t="s">
        <v>916</v>
      </c>
      <c r="O18" s="18" t="s">
        <v>838</v>
      </c>
      <c r="P18" s="18" t="s">
        <v>917</v>
      </c>
      <c r="Q18" s="18" t="s">
        <v>918</v>
      </c>
      <c r="R18" s="18" t="s">
        <v>830</v>
      </c>
      <c r="S18" s="18" t="s">
        <v>919</v>
      </c>
      <c r="T18" s="18" t="s">
        <v>313</v>
      </c>
      <c r="U18" s="18" t="s">
        <v>920</v>
      </c>
    </row>
    <row r="19" spans="1:21" ht="30" customHeight="1" x14ac:dyDescent="0.3">
      <c r="A19" s="18" t="s">
        <v>921</v>
      </c>
      <c r="B19" s="18" t="s">
        <v>922</v>
      </c>
      <c r="C19" s="18" t="s">
        <v>169</v>
      </c>
      <c r="D19" s="19">
        <v>46265</v>
      </c>
      <c r="E19" s="18" t="s">
        <v>166</v>
      </c>
      <c r="F19" s="18" t="s">
        <v>923</v>
      </c>
      <c r="G19" s="18" t="s">
        <v>389</v>
      </c>
      <c r="H19" s="18" t="s">
        <v>924</v>
      </c>
      <c r="I19" s="20" t="str">
        <f>IFERROR(INDEX(Listas!$B$7:$B$46,MATCH(J19,Listas!$A$7:$A$46,0)),"")</f>
        <v>Adecuación funcional</v>
      </c>
      <c r="J19" s="18" t="s">
        <v>925</v>
      </c>
      <c r="K19" s="18" t="s">
        <v>308</v>
      </c>
      <c r="L19" s="18" t="s">
        <v>309</v>
      </c>
      <c r="M19" s="18" t="s">
        <v>509</v>
      </c>
      <c r="N19" s="18" t="s">
        <v>926</v>
      </c>
      <c r="O19" s="18" t="s">
        <v>838</v>
      </c>
      <c r="P19" s="18" t="s">
        <v>927</v>
      </c>
      <c r="Q19" s="18" t="s">
        <v>928</v>
      </c>
      <c r="R19" s="18" t="s">
        <v>830</v>
      </c>
      <c r="S19" s="18" t="s">
        <v>929</v>
      </c>
      <c r="T19" s="18" t="s">
        <v>313</v>
      </c>
      <c r="U19" s="18" t="s">
        <v>930</v>
      </c>
    </row>
    <row r="20" spans="1:21" ht="30" customHeight="1" x14ac:dyDescent="0.3">
      <c r="A20" s="18" t="s">
        <v>931</v>
      </c>
      <c r="B20" s="18" t="s">
        <v>932</v>
      </c>
      <c r="C20" s="18" t="s">
        <v>169</v>
      </c>
      <c r="D20" s="19">
        <v>46265</v>
      </c>
      <c r="E20" s="18" t="s">
        <v>166</v>
      </c>
      <c r="F20" s="18" t="s">
        <v>933</v>
      </c>
      <c r="G20" s="18" t="s">
        <v>934</v>
      </c>
      <c r="H20" s="18" t="s">
        <v>935</v>
      </c>
      <c r="I20" s="20" t="str">
        <f>IFERROR(INDEX(Listas!$B$7:$B$46,MATCH(J20,Listas!$A$7:$A$46,0)),"")</f>
        <v>Adecuación funcional</v>
      </c>
      <c r="J20" s="18" t="s">
        <v>925</v>
      </c>
      <c r="K20" s="18" t="s">
        <v>308</v>
      </c>
      <c r="L20" s="18" t="s">
        <v>309</v>
      </c>
      <c r="M20" s="18" t="s">
        <v>310</v>
      </c>
      <c r="N20" s="18" t="s">
        <v>936</v>
      </c>
      <c r="O20" s="18" t="s">
        <v>838</v>
      </c>
      <c r="P20" s="18" t="s">
        <v>937</v>
      </c>
      <c r="Q20" s="18" t="s">
        <v>938</v>
      </c>
      <c r="R20" s="18" t="s">
        <v>830</v>
      </c>
      <c r="S20" s="18" t="s">
        <v>939</v>
      </c>
      <c r="T20" s="18" t="s">
        <v>849</v>
      </c>
      <c r="U20" s="18"/>
    </row>
    <row r="21" spans="1:21" ht="30" customHeight="1" x14ac:dyDescent="0.3">
      <c r="A21" s="18" t="s">
        <v>940</v>
      </c>
      <c r="B21" s="18" t="s">
        <v>941</v>
      </c>
      <c r="C21" s="18" t="s">
        <v>169</v>
      </c>
      <c r="D21" s="19">
        <v>46265</v>
      </c>
      <c r="E21" s="18" t="s">
        <v>166</v>
      </c>
      <c r="F21" s="18" t="s">
        <v>942</v>
      </c>
      <c r="G21" s="18" t="s">
        <v>943</v>
      </c>
      <c r="H21" s="18" t="s">
        <v>944</v>
      </c>
      <c r="I21" s="20" t="str">
        <f>IFERROR(INDEX(Listas!$B$7:$B$46,MATCH(J21,Listas!$A$7:$A$46,0)),"")</f>
        <v>Capacidad de interacción</v>
      </c>
      <c r="J21" s="18" t="s">
        <v>945</v>
      </c>
      <c r="K21" s="18" t="s">
        <v>347</v>
      </c>
      <c r="L21" s="18" t="s">
        <v>348</v>
      </c>
      <c r="M21" s="18" t="s">
        <v>310</v>
      </c>
      <c r="N21" s="18" t="s">
        <v>946</v>
      </c>
      <c r="O21" s="18" t="s">
        <v>838</v>
      </c>
      <c r="P21" s="18" t="s">
        <v>947</v>
      </c>
      <c r="Q21" s="18" t="s">
        <v>948</v>
      </c>
      <c r="R21" s="18" t="s">
        <v>949</v>
      </c>
      <c r="S21" s="18" t="s">
        <v>950</v>
      </c>
      <c r="T21" s="18" t="s">
        <v>313</v>
      </c>
      <c r="U21" s="18"/>
    </row>
    <row r="22" spans="1:21" ht="30" customHeight="1" x14ac:dyDescent="0.3">
      <c r="A22" s="18" t="s">
        <v>951</v>
      </c>
      <c r="B22" s="18" t="s">
        <v>952</v>
      </c>
      <c r="C22" s="18" t="s">
        <v>169</v>
      </c>
      <c r="D22" s="19">
        <v>46265</v>
      </c>
      <c r="E22" s="18" t="s">
        <v>166</v>
      </c>
      <c r="F22" s="18" t="s">
        <v>953</v>
      </c>
      <c r="G22" s="18" t="s">
        <v>954</v>
      </c>
      <c r="H22" s="18" t="s">
        <v>955</v>
      </c>
      <c r="I22" s="20" t="str">
        <f>IFERROR(INDEX(Listas!$B$7:$B$46,MATCH(J22,Listas!$A$7:$A$46,0)),"")</f>
        <v>Capacidad de interacción</v>
      </c>
      <c r="J22" s="18" t="s">
        <v>956</v>
      </c>
      <c r="K22" s="18" t="s">
        <v>957</v>
      </c>
      <c r="L22" s="18" t="s">
        <v>958</v>
      </c>
      <c r="M22" s="18" t="s">
        <v>310</v>
      </c>
      <c r="N22" s="18" t="s">
        <v>959</v>
      </c>
      <c r="O22" s="18" t="s">
        <v>816</v>
      </c>
      <c r="P22" s="18" t="s">
        <v>960</v>
      </c>
      <c r="Q22" s="18" t="s">
        <v>961</v>
      </c>
      <c r="R22" s="18" t="s">
        <v>819</v>
      </c>
      <c r="S22" s="18" t="s">
        <v>342</v>
      </c>
      <c r="T22" s="18" t="s">
        <v>313</v>
      </c>
      <c r="U22" s="18"/>
    </row>
    <row r="23" spans="1:21" ht="30" customHeight="1" x14ac:dyDescent="0.3">
      <c r="A23" s="18" t="s">
        <v>962</v>
      </c>
      <c r="B23" s="18" t="s">
        <v>963</v>
      </c>
      <c r="C23" s="18" t="s">
        <v>169</v>
      </c>
      <c r="D23" s="19">
        <v>46265</v>
      </c>
      <c r="E23" s="18" t="s">
        <v>166</v>
      </c>
      <c r="F23" s="18" t="s">
        <v>964</v>
      </c>
      <c r="G23" s="18" t="s">
        <v>489</v>
      </c>
      <c r="H23" s="18" t="s">
        <v>965</v>
      </c>
      <c r="I23" s="20" t="str">
        <f>IFERROR(INDEX(Listas!$B$7:$B$46,MATCH(J23,Listas!$A$7:$A$46,0)),"")</f>
        <v>Capacidad de interacción</v>
      </c>
      <c r="J23" s="18" t="s">
        <v>945</v>
      </c>
      <c r="K23" s="18" t="s">
        <v>347</v>
      </c>
      <c r="L23" s="18" t="s">
        <v>348</v>
      </c>
      <c r="M23" s="18" t="s">
        <v>310</v>
      </c>
      <c r="N23" s="18" t="s">
        <v>966</v>
      </c>
      <c r="O23" s="18" t="s">
        <v>838</v>
      </c>
      <c r="P23" s="18" t="s">
        <v>967</v>
      </c>
      <c r="Q23" s="18" t="s">
        <v>968</v>
      </c>
      <c r="R23" s="18" t="s">
        <v>830</v>
      </c>
      <c r="S23" s="18" t="s">
        <v>969</v>
      </c>
      <c r="T23" s="18" t="s">
        <v>313</v>
      </c>
      <c r="U23" s="18"/>
    </row>
    <row r="24" spans="1:21" ht="30" customHeight="1" x14ac:dyDescent="0.3">
      <c r="A24" s="18" t="s">
        <v>970</v>
      </c>
      <c r="B24" s="18" t="s">
        <v>971</v>
      </c>
      <c r="C24" s="18" t="s">
        <v>169</v>
      </c>
      <c r="D24" s="19">
        <v>46265</v>
      </c>
      <c r="E24" s="18" t="s">
        <v>166</v>
      </c>
      <c r="F24" s="18" t="s">
        <v>972</v>
      </c>
      <c r="G24" s="18" t="s">
        <v>943</v>
      </c>
      <c r="H24" s="18" t="s">
        <v>973</v>
      </c>
      <c r="I24" s="20" t="str">
        <f>IFERROR(INDEX(Listas!$B$7:$B$46,MATCH(J24,Listas!$A$7:$A$46,0)),"")</f>
        <v>Capacidad de interacción</v>
      </c>
      <c r="J24" s="18" t="s">
        <v>974</v>
      </c>
      <c r="K24" s="18" t="s">
        <v>957</v>
      </c>
      <c r="L24" s="18" t="s">
        <v>958</v>
      </c>
      <c r="M24" s="18" t="s">
        <v>310</v>
      </c>
      <c r="N24" s="18" t="s">
        <v>975</v>
      </c>
      <c r="O24" s="18" t="s">
        <v>838</v>
      </c>
      <c r="P24" s="18" t="s">
        <v>976</v>
      </c>
      <c r="Q24" s="18" t="s">
        <v>977</v>
      </c>
      <c r="R24" s="18" t="s">
        <v>819</v>
      </c>
      <c r="S24" s="18" t="s">
        <v>978</v>
      </c>
      <c r="T24" s="18" t="s">
        <v>962</v>
      </c>
      <c r="U24" s="18"/>
    </row>
    <row r="25" spans="1:21" ht="30" customHeight="1" x14ac:dyDescent="0.3">
      <c r="A25" s="18" t="s">
        <v>979</v>
      </c>
      <c r="B25" s="18" t="s">
        <v>980</v>
      </c>
      <c r="C25" s="18" t="s">
        <v>169</v>
      </c>
      <c r="D25" s="19">
        <v>46265</v>
      </c>
      <c r="E25" s="18" t="s">
        <v>166</v>
      </c>
      <c r="F25" s="18" t="s">
        <v>981</v>
      </c>
      <c r="G25" s="18" t="s">
        <v>982</v>
      </c>
      <c r="H25" s="18" t="s">
        <v>983</v>
      </c>
      <c r="I25" s="20" t="str">
        <f>IFERROR(INDEX(Listas!$B$7:$B$46,MATCH(J25,Listas!$A$7:$A$46,0)),"")</f>
        <v>Mantenibilidad</v>
      </c>
      <c r="J25" s="18" t="s">
        <v>984</v>
      </c>
      <c r="K25" s="18" t="s">
        <v>308</v>
      </c>
      <c r="L25" s="18" t="s">
        <v>309</v>
      </c>
      <c r="M25" s="18" t="s">
        <v>310</v>
      </c>
      <c r="N25" s="18" t="s">
        <v>985</v>
      </c>
      <c r="O25" s="18" t="s">
        <v>816</v>
      </c>
      <c r="P25" s="18" t="s">
        <v>986</v>
      </c>
      <c r="Q25" s="18" t="s">
        <v>987</v>
      </c>
      <c r="R25" s="18" t="s">
        <v>819</v>
      </c>
      <c r="S25" s="18" t="s">
        <v>919</v>
      </c>
      <c r="T25" s="18" t="s">
        <v>313</v>
      </c>
      <c r="U25" s="18"/>
    </row>
    <row r="26" spans="1:21" ht="30" customHeight="1" x14ac:dyDescent="0.3">
      <c r="A26" s="18" t="s">
        <v>988</v>
      </c>
      <c r="B26" s="18" t="s">
        <v>989</v>
      </c>
      <c r="C26" s="18" t="s">
        <v>169</v>
      </c>
      <c r="D26" s="19">
        <v>46265</v>
      </c>
      <c r="E26" s="18" t="s">
        <v>166</v>
      </c>
      <c r="F26" s="18" t="s">
        <v>990</v>
      </c>
      <c r="G26" s="18" t="s">
        <v>982</v>
      </c>
      <c r="H26" s="18" t="s">
        <v>991</v>
      </c>
      <c r="I26" s="20" t="str">
        <f>IFERROR(INDEX(Listas!$B$7:$B$46,MATCH(J26,Listas!$A$7:$A$46,0)),"")</f>
        <v>Mantenibilidad</v>
      </c>
      <c r="J26" s="18" t="s">
        <v>984</v>
      </c>
      <c r="K26" s="18" t="s">
        <v>308</v>
      </c>
      <c r="L26" s="18" t="s">
        <v>309</v>
      </c>
      <c r="M26" s="18" t="s">
        <v>310</v>
      </c>
      <c r="N26" s="18" t="s">
        <v>992</v>
      </c>
      <c r="O26" s="18" t="s">
        <v>816</v>
      </c>
      <c r="P26" s="18" t="s">
        <v>993</v>
      </c>
      <c r="Q26" s="18" t="s">
        <v>994</v>
      </c>
      <c r="R26" s="18" t="s">
        <v>819</v>
      </c>
      <c r="S26" s="18" t="s">
        <v>995</v>
      </c>
      <c r="T26" s="18" t="s">
        <v>979</v>
      </c>
      <c r="U26" s="18"/>
    </row>
    <row r="27" spans="1:21" ht="30" customHeight="1" x14ac:dyDescent="0.3">
      <c r="A27" s="18" t="s">
        <v>996</v>
      </c>
      <c r="B27" s="18" t="s">
        <v>997</v>
      </c>
      <c r="C27" s="18" t="s">
        <v>169</v>
      </c>
      <c r="D27" s="19">
        <v>46265</v>
      </c>
      <c r="E27" s="18" t="s">
        <v>166</v>
      </c>
      <c r="F27" s="18" t="s">
        <v>998</v>
      </c>
      <c r="G27" s="18" t="s">
        <v>982</v>
      </c>
      <c r="H27" s="18" t="s">
        <v>999</v>
      </c>
      <c r="I27" s="20" t="str">
        <f>IFERROR(INDEX(Listas!$B$7:$B$46,MATCH(J27,Listas!$A$7:$A$46,0)),"")</f>
        <v>Flexibilidad</v>
      </c>
      <c r="J27" s="18" t="s">
        <v>1000</v>
      </c>
      <c r="K27" s="18" t="s">
        <v>308</v>
      </c>
      <c r="L27" s="18" t="s">
        <v>309</v>
      </c>
      <c r="M27" s="18" t="s">
        <v>310</v>
      </c>
      <c r="N27" s="18" t="s">
        <v>1001</v>
      </c>
      <c r="O27" s="18" t="s">
        <v>838</v>
      </c>
      <c r="P27" s="18" t="s">
        <v>1002</v>
      </c>
      <c r="Q27" s="18" t="s">
        <v>1003</v>
      </c>
      <c r="R27" s="18" t="s">
        <v>949</v>
      </c>
      <c r="S27" s="18" t="s">
        <v>919</v>
      </c>
      <c r="T27" s="18" t="s">
        <v>979</v>
      </c>
      <c r="U27" s="18"/>
    </row>
    <row r="28" spans="1:21" ht="30" customHeight="1" x14ac:dyDescent="0.3">
      <c r="A28" s="18" t="s">
        <v>1004</v>
      </c>
      <c r="B28" s="18" t="s">
        <v>1005</v>
      </c>
      <c r="C28" s="18" t="s">
        <v>169</v>
      </c>
      <c r="D28" s="19">
        <v>46265</v>
      </c>
      <c r="E28" s="18" t="s">
        <v>166</v>
      </c>
      <c r="F28" s="18" t="s">
        <v>1006</v>
      </c>
      <c r="G28" s="18" t="s">
        <v>982</v>
      </c>
      <c r="H28" s="18" t="s">
        <v>1007</v>
      </c>
      <c r="I28" s="20" t="str">
        <f>IFERROR(INDEX(Listas!$B$7:$B$46,MATCH(J28,Listas!$A$7:$A$46,0)),"")</f>
        <v>Mantenibilidad</v>
      </c>
      <c r="J28" s="18" t="s">
        <v>1008</v>
      </c>
      <c r="K28" s="18" t="s">
        <v>957</v>
      </c>
      <c r="L28" s="18" t="s">
        <v>958</v>
      </c>
      <c r="M28" s="18" t="s">
        <v>310</v>
      </c>
      <c r="N28" s="18" t="s">
        <v>1009</v>
      </c>
      <c r="O28" s="18" t="s">
        <v>816</v>
      </c>
      <c r="P28" s="18" t="s">
        <v>1010</v>
      </c>
      <c r="Q28" s="18" t="s">
        <v>1011</v>
      </c>
      <c r="R28" s="18" t="s">
        <v>1012</v>
      </c>
      <c r="S28" s="18" t="s">
        <v>1013</v>
      </c>
      <c r="T28" s="18" t="s">
        <v>979</v>
      </c>
      <c r="U28" s="18"/>
    </row>
    <row r="29" spans="1:21" ht="30" customHeight="1" x14ac:dyDescent="0.3">
      <c r="A29" s="18" t="s">
        <v>1014</v>
      </c>
      <c r="B29" s="18" t="s">
        <v>1015</v>
      </c>
      <c r="C29" s="18" t="s">
        <v>169</v>
      </c>
      <c r="D29" s="19">
        <v>46265</v>
      </c>
      <c r="E29" s="18" t="s">
        <v>166</v>
      </c>
      <c r="F29" s="18" t="s">
        <v>1016</v>
      </c>
      <c r="G29" s="18" t="s">
        <v>1017</v>
      </c>
      <c r="H29" s="18" t="s">
        <v>1018</v>
      </c>
      <c r="I29" s="20" t="str">
        <f>IFERROR(INDEX(Listas!$B$7:$B$46,MATCH(J29,Listas!$A$7:$A$46,0)),"")</f>
        <v>Compatibilidad</v>
      </c>
      <c r="J29" s="18" t="s">
        <v>1019</v>
      </c>
      <c r="K29" s="18" t="s">
        <v>308</v>
      </c>
      <c r="L29" s="18" t="s">
        <v>309</v>
      </c>
      <c r="M29" s="18" t="s">
        <v>310</v>
      </c>
      <c r="N29" s="18" t="s">
        <v>1020</v>
      </c>
      <c r="O29" s="18" t="s">
        <v>838</v>
      </c>
      <c r="P29" s="18" t="s">
        <v>1021</v>
      </c>
      <c r="Q29" s="18" t="s">
        <v>1022</v>
      </c>
      <c r="R29" s="18" t="s">
        <v>830</v>
      </c>
      <c r="S29" s="18" t="s">
        <v>1023</v>
      </c>
      <c r="T29" s="18" t="s">
        <v>313</v>
      </c>
      <c r="U29" s="18"/>
    </row>
    <row r="30" spans="1:21" ht="30" customHeight="1" x14ac:dyDescent="0.3">
      <c r="A30" s="18" t="s">
        <v>1024</v>
      </c>
      <c r="B30" s="18" t="s">
        <v>1025</v>
      </c>
      <c r="C30" s="18" t="s">
        <v>169</v>
      </c>
      <c r="D30" s="19">
        <v>46265</v>
      </c>
      <c r="E30" s="18" t="s">
        <v>166</v>
      </c>
      <c r="F30" s="18" t="s">
        <v>1026</v>
      </c>
      <c r="G30" s="18" t="s">
        <v>1027</v>
      </c>
      <c r="H30" s="18" t="s">
        <v>1028</v>
      </c>
      <c r="I30" s="20" t="str">
        <f>IFERROR(INDEX(Listas!$B$7:$B$46,MATCH(J30,Listas!$A$7:$A$46,0)),"")</f>
        <v>Eficiencia de desempeño</v>
      </c>
      <c r="J30" s="18" t="s">
        <v>1029</v>
      </c>
      <c r="K30" s="18" t="s">
        <v>308</v>
      </c>
      <c r="L30" s="18" t="s">
        <v>309</v>
      </c>
      <c r="M30" s="18" t="s">
        <v>310</v>
      </c>
      <c r="N30" s="18" t="s">
        <v>1030</v>
      </c>
      <c r="O30" s="18" t="s">
        <v>1031</v>
      </c>
      <c r="P30" s="18" t="s">
        <v>1032</v>
      </c>
      <c r="Q30" s="18" t="s">
        <v>1033</v>
      </c>
      <c r="R30" s="18" t="s">
        <v>830</v>
      </c>
      <c r="S30" s="18" t="s">
        <v>1034</v>
      </c>
      <c r="T30" s="18" t="s">
        <v>313</v>
      </c>
      <c r="U30" s="18"/>
    </row>
    <row r="31" spans="1:21" ht="30" customHeight="1" x14ac:dyDescent="0.3">
      <c r="A31" s="18" t="s">
        <v>1035</v>
      </c>
      <c r="B31" s="18" t="s">
        <v>1036</v>
      </c>
      <c r="C31" s="18" t="s">
        <v>169</v>
      </c>
      <c r="D31" s="19">
        <v>46265</v>
      </c>
      <c r="E31" s="18" t="s">
        <v>166</v>
      </c>
      <c r="F31" s="18" t="s">
        <v>1037</v>
      </c>
      <c r="G31" s="18" t="s">
        <v>943</v>
      </c>
      <c r="H31" s="18" t="s">
        <v>1038</v>
      </c>
      <c r="I31" s="20" t="str">
        <f>IFERROR(INDEX(Listas!$B$7:$B$46,MATCH(J31,Listas!$A$7:$A$46,0)),"")</f>
        <v>Flexibilidad</v>
      </c>
      <c r="J31" s="18" t="s">
        <v>1039</v>
      </c>
      <c r="K31" s="18" t="s">
        <v>957</v>
      </c>
      <c r="L31" s="18" t="s">
        <v>958</v>
      </c>
      <c r="M31" s="18" t="s">
        <v>310</v>
      </c>
      <c r="N31" s="18" t="s">
        <v>1040</v>
      </c>
      <c r="O31" s="18" t="s">
        <v>1041</v>
      </c>
      <c r="P31" s="18" t="s">
        <v>1042</v>
      </c>
      <c r="Q31" s="18" t="s">
        <v>1043</v>
      </c>
      <c r="R31" s="18" t="s">
        <v>830</v>
      </c>
      <c r="S31" s="18" t="s">
        <v>919</v>
      </c>
      <c r="T31" s="18" t="s">
        <v>313</v>
      </c>
      <c r="U31" s="18"/>
    </row>
    <row r="32" spans="1:21" ht="30" customHeight="1" x14ac:dyDescent="0.3">
      <c r="A32" s="18" t="s">
        <v>1044</v>
      </c>
      <c r="B32" s="18" t="s">
        <v>1045</v>
      </c>
      <c r="C32" s="18" t="s">
        <v>169</v>
      </c>
      <c r="D32" s="19">
        <v>46265</v>
      </c>
      <c r="E32" s="18" t="s">
        <v>166</v>
      </c>
      <c r="F32" s="18" t="s">
        <v>1046</v>
      </c>
      <c r="G32" s="18" t="s">
        <v>1047</v>
      </c>
      <c r="H32" s="18" t="s">
        <v>1048</v>
      </c>
      <c r="I32" s="20" t="str">
        <f>IFERROR(INDEX(Listas!$B$7:$B$46,MATCH(J32,Listas!$A$7:$A$46,0)),"")</f>
        <v>Seguridad (security)</v>
      </c>
      <c r="J32" s="18" t="s">
        <v>862</v>
      </c>
      <c r="K32" s="18" t="s">
        <v>308</v>
      </c>
      <c r="L32" s="18" t="s">
        <v>309</v>
      </c>
      <c r="M32" s="18" t="s">
        <v>310</v>
      </c>
      <c r="N32" s="18" t="s">
        <v>1049</v>
      </c>
      <c r="O32" s="18" t="s">
        <v>838</v>
      </c>
      <c r="P32" s="18" t="s">
        <v>1050</v>
      </c>
      <c r="Q32" s="18" t="s">
        <v>1051</v>
      </c>
      <c r="R32" s="18" t="s">
        <v>830</v>
      </c>
      <c r="S32" s="18" t="s">
        <v>1052</v>
      </c>
      <c r="T32" s="18" t="s">
        <v>858</v>
      </c>
      <c r="U32" s="18"/>
    </row>
    <row r="33" spans="1:21" ht="30" customHeight="1" x14ac:dyDescent="0.3">
      <c r="A33" s="18" t="s">
        <v>1053</v>
      </c>
      <c r="B33" s="18" t="s">
        <v>1054</v>
      </c>
      <c r="C33" s="18" t="s">
        <v>169</v>
      </c>
      <c r="D33" s="19">
        <v>46265</v>
      </c>
      <c r="E33" s="18" t="s">
        <v>166</v>
      </c>
      <c r="F33" s="18" t="s">
        <v>1055</v>
      </c>
      <c r="G33" s="18" t="s">
        <v>389</v>
      </c>
      <c r="H33" s="18" t="s">
        <v>1056</v>
      </c>
      <c r="I33" s="20" t="str">
        <f>IFERROR(INDEX(Listas!$B$7:$B$46,MATCH(J33,Listas!$A$7:$A$46,0)),"")</f>
        <v>Seguridad (security)</v>
      </c>
      <c r="J33" s="18" t="s">
        <v>1057</v>
      </c>
      <c r="K33" s="18" t="s">
        <v>308</v>
      </c>
      <c r="L33" s="18" t="s">
        <v>309</v>
      </c>
      <c r="M33" s="18" t="s">
        <v>310</v>
      </c>
      <c r="N33" s="18" t="s">
        <v>1058</v>
      </c>
      <c r="O33" s="18" t="s">
        <v>838</v>
      </c>
      <c r="P33" s="18" t="s">
        <v>1059</v>
      </c>
      <c r="Q33" s="18" t="s">
        <v>1060</v>
      </c>
      <c r="R33" s="18" t="s">
        <v>830</v>
      </c>
      <c r="S33" s="18" t="s">
        <v>1061</v>
      </c>
      <c r="T33" s="18" t="s">
        <v>849</v>
      </c>
      <c r="U33" s="18"/>
    </row>
    <row r="34" spans="1:21" ht="30" customHeight="1" x14ac:dyDescent="0.3">
      <c r="A34" s="18" t="s">
        <v>1062</v>
      </c>
      <c r="B34" s="18" t="s">
        <v>1063</v>
      </c>
      <c r="C34" s="18" t="s">
        <v>169</v>
      </c>
      <c r="D34" s="19">
        <v>46265</v>
      </c>
      <c r="E34" s="18" t="s">
        <v>166</v>
      </c>
      <c r="F34" s="18" t="s">
        <v>1064</v>
      </c>
      <c r="G34" s="18" t="s">
        <v>934</v>
      </c>
      <c r="H34" s="18" t="s">
        <v>1065</v>
      </c>
      <c r="I34" s="20" t="str">
        <f>IFERROR(INDEX(Listas!$B$7:$B$46,MATCH(J34,Listas!$A$7:$A$46,0)),"")</f>
        <v>Adecuación funcional</v>
      </c>
      <c r="J34" s="18" t="s">
        <v>925</v>
      </c>
      <c r="K34" s="18" t="s">
        <v>308</v>
      </c>
      <c r="L34" s="18" t="s">
        <v>309</v>
      </c>
      <c r="M34" s="18" t="s">
        <v>310</v>
      </c>
      <c r="N34" s="18" t="s">
        <v>1066</v>
      </c>
      <c r="O34" s="18" t="s">
        <v>838</v>
      </c>
      <c r="P34" s="18" t="s">
        <v>1067</v>
      </c>
      <c r="Q34" s="18" t="s">
        <v>1068</v>
      </c>
      <c r="R34" s="18" t="s">
        <v>830</v>
      </c>
      <c r="S34" s="18" t="s">
        <v>919</v>
      </c>
      <c r="T34" s="18" t="s">
        <v>313</v>
      </c>
      <c r="U34" s="18"/>
    </row>
    <row r="35" spans="1:21" ht="30" customHeight="1" x14ac:dyDescent="0.3">
      <c r="A35" s="18" t="s">
        <v>1069</v>
      </c>
      <c r="B35" s="18" t="s">
        <v>1070</v>
      </c>
      <c r="C35" s="18" t="s">
        <v>169</v>
      </c>
      <c r="D35" s="19">
        <v>46265</v>
      </c>
      <c r="E35" s="18" t="s">
        <v>166</v>
      </c>
      <c r="F35" s="18" t="s">
        <v>1071</v>
      </c>
      <c r="G35" s="18" t="s">
        <v>1017</v>
      </c>
      <c r="H35" s="18" t="s">
        <v>1072</v>
      </c>
      <c r="I35" s="20" t="str">
        <f>IFERROR(INDEX(Listas!$B$7:$B$46,MATCH(J35,Listas!$A$7:$A$46,0)),"")</f>
        <v>Mantenibilidad</v>
      </c>
      <c r="J35" s="18" t="s">
        <v>1073</v>
      </c>
      <c r="K35" s="18" t="s">
        <v>347</v>
      </c>
      <c r="L35" s="18" t="s">
        <v>348</v>
      </c>
      <c r="M35" s="18" t="s">
        <v>310</v>
      </c>
      <c r="N35" s="18" t="s">
        <v>1074</v>
      </c>
      <c r="O35" s="18" t="s">
        <v>816</v>
      </c>
      <c r="P35" s="18" t="s">
        <v>1075</v>
      </c>
      <c r="Q35" s="18" t="s">
        <v>1076</v>
      </c>
      <c r="R35" s="18" t="s">
        <v>819</v>
      </c>
      <c r="S35" s="18" t="s">
        <v>1013</v>
      </c>
      <c r="T35" s="18" t="s">
        <v>1077</v>
      </c>
      <c r="U35" s="18"/>
    </row>
    <row r="36" spans="1:21" ht="30" customHeight="1" x14ac:dyDescent="0.3">
      <c r="A36" s="18" t="s">
        <v>1078</v>
      </c>
      <c r="B36" s="18" t="s">
        <v>1079</v>
      </c>
      <c r="C36" s="18" t="s">
        <v>169</v>
      </c>
      <c r="D36" s="19">
        <v>46265</v>
      </c>
      <c r="E36" s="18" t="s">
        <v>166</v>
      </c>
      <c r="F36" s="18" t="s">
        <v>1080</v>
      </c>
      <c r="G36" s="18" t="s">
        <v>1081</v>
      </c>
      <c r="H36" s="18" t="s">
        <v>1082</v>
      </c>
      <c r="I36" s="20" t="str">
        <f>IFERROR(INDEX(Listas!$B$7:$B$46,MATCH(J36,Listas!$A$7:$A$46,0)),"")</f>
        <v>Seguridad (security)</v>
      </c>
      <c r="J36" s="18" t="s">
        <v>814</v>
      </c>
      <c r="K36" s="18" t="s">
        <v>308</v>
      </c>
      <c r="L36" s="18" t="s">
        <v>309</v>
      </c>
      <c r="M36" s="18" t="s">
        <v>310</v>
      </c>
      <c r="N36" s="18" t="s">
        <v>1083</v>
      </c>
      <c r="O36" s="18" t="s">
        <v>1084</v>
      </c>
      <c r="P36" s="18" t="s">
        <v>1085</v>
      </c>
      <c r="Q36" s="18" t="s">
        <v>1086</v>
      </c>
      <c r="R36" s="18" t="s">
        <v>1012</v>
      </c>
      <c r="S36" s="18" t="s">
        <v>1087</v>
      </c>
      <c r="T36" s="18" t="s">
        <v>1088</v>
      </c>
      <c r="U36" s="18" t="s">
        <v>1089</v>
      </c>
    </row>
    <row r="37" spans="1:21" ht="30" customHeight="1" x14ac:dyDescent="0.3">
      <c r="A37" s="12"/>
      <c r="B37" s="12"/>
      <c r="C37" s="12"/>
      <c r="D37" s="15"/>
      <c r="E37" s="12"/>
      <c r="F37" s="12"/>
      <c r="G37" s="12"/>
      <c r="H37" s="12"/>
      <c r="I37" s="1" t="str">
        <f>IFERROR(INDEX(Listas!$B$7:$B$46,MATCH(J37,Listas!$A$7:$A$46,0)),"")</f>
        <v/>
      </c>
      <c r="J37" s="12"/>
      <c r="K37" s="12"/>
      <c r="L37" s="12"/>
      <c r="M37" s="12"/>
      <c r="N37" s="12"/>
      <c r="O37" s="12"/>
      <c r="P37" s="12"/>
      <c r="Q37" s="12"/>
      <c r="R37" s="12"/>
      <c r="S37" s="12"/>
      <c r="T37" s="12"/>
      <c r="U37" s="12"/>
    </row>
    <row r="38" spans="1:21" ht="30" customHeight="1" x14ac:dyDescent="0.3">
      <c r="A38" s="12"/>
      <c r="B38" s="12"/>
      <c r="C38" s="12"/>
      <c r="D38" s="15"/>
      <c r="E38" s="12"/>
      <c r="F38" s="12"/>
      <c r="G38" s="12"/>
      <c r="H38" s="12"/>
      <c r="I38" s="1" t="str">
        <f>IFERROR(INDEX(Listas!$B$7:$B$46,MATCH(J38,Listas!$A$7:$A$46,0)),"")</f>
        <v/>
      </c>
      <c r="J38" s="12"/>
      <c r="K38" s="12"/>
      <c r="L38" s="12"/>
      <c r="M38" s="12"/>
      <c r="N38" s="12"/>
      <c r="O38" s="12"/>
      <c r="P38" s="12"/>
      <c r="Q38" s="12"/>
      <c r="R38" s="12"/>
      <c r="S38" s="12"/>
      <c r="T38" s="12"/>
      <c r="U38" s="12"/>
    </row>
    <row r="39" spans="1:21" ht="30" customHeight="1" x14ac:dyDescent="0.3">
      <c r="A39" s="12"/>
      <c r="B39" s="12"/>
      <c r="C39" s="12"/>
      <c r="D39" s="15"/>
      <c r="E39" s="12"/>
      <c r="F39" s="12"/>
      <c r="G39" s="12"/>
      <c r="H39" s="12"/>
      <c r="I39" s="1" t="str">
        <f>IFERROR(INDEX(Listas!$B$7:$B$46,MATCH(J39,Listas!$A$7:$A$46,0)),"")</f>
        <v/>
      </c>
      <c r="J39" s="12"/>
      <c r="K39" s="12"/>
      <c r="L39" s="12"/>
      <c r="M39" s="12"/>
      <c r="N39" s="12"/>
      <c r="O39" s="12"/>
      <c r="P39" s="12"/>
      <c r="Q39" s="12"/>
      <c r="R39" s="12"/>
      <c r="S39" s="12"/>
      <c r="T39" s="12"/>
      <c r="U39" s="12"/>
    </row>
    <row r="40" spans="1:21" ht="30" customHeight="1" x14ac:dyDescent="0.3">
      <c r="A40" s="12"/>
      <c r="B40" s="12"/>
      <c r="C40" s="12"/>
      <c r="D40" s="15"/>
      <c r="E40" s="12"/>
      <c r="F40" s="12"/>
      <c r="G40" s="12"/>
      <c r="H40" s="12"/>
      <c r="I40" s="1" t="str">
        <f>IFERROR(INDEX(Listas!$B$7:$B$46,MATCH(J40,Listas!$A$7:$A$46,0)),"")</f>
        <v/>
      </c>
      <c r="J40" s="12"/>
      <c r="K40" s="12"/>
      <c r="L40" s="12"/>
      <c r="M40" s="12"/>
      <c r="N40" s="12"/>
      <c r="O40" s="12"/>
      <c r="P40" s="12"/>
      <c r="Q40" s="12"/>
      <c r="R40" s="12"/>
      <c r="S40" s="12"/>
      <c r="T40" s="12"/>
      <c r="U40" s="12"/>
    </row>
    <row r="41" spans="1:21" ht="30" customHeight="1" x14ac:dyDescent="0.3">
      <c r="A41" s="12"/>
      <c r="B41" s="12"/>
      <c r="C41" s="12"/>
      <c r="D41" s="15"/>
      <c r="E41" s="12"/>
      <c r="F41" s="12"/>
      <c r="G41" s="12"/>
      <c r="H41" s="12"/>
      <c r="I41" s="1" t="str">
        <f>IFERROR(INDEX(Listas!$B$7:$B$46,MATCH(J41,Listas!$A$7:$A$46,0)),"")</f>
        <v/>
      </c>
      <c r="J41" s="12"/>
      <c r="K41" s="12"/>
      <c r="L41" s="12"/>
      <c r="M41" s="12"/>
      <c r="N41" s="12"/>
      <c r="O41" s="12"/>
      <c r="P41" s="12"/>
      <c r="Q41" s="12"/>
      <c r="R41" s="12"/>
      <c r="S41" s="12"/>
      <c r="T41" s="12"/>
      <c r="U41" s="12"/>
    </row>
    <row r="42" spans="1:21" ht="30" customHeight="1" x14ac:dyDescent="0.3">
      <c r="A42" s="12"/>
      <c r="B42" s="12"/>
      <c r="C42" s="12"/>
      <c r="D42" s="15"/>
      <c r="E42" s="12"/>
      <c r="F42" s="12"/>
      <c r="G42" s="12"/>
      <c r="H42" s="12"/>
      <c r="I42" s="1" t="str">
        <f>IFERROR(INDEX(Listas!$B$7:$B$46,MATCH(J42,Listas!$A$7:$A$46,0)),"")</f>
        <v/>
      </c>
      <c r="J42" s="12"/>
      <c r="K42" s="12"/>
      <c r="L42" s="12"/>
      <c r="M42" s="12"/>
      <c r="N42" s="12"/>
      <c r="O42" s="12"/>
      <c r="P42" s="12"/>
      <c r="Q42" s="12"/>
      <c r="R42" s="12"/>
      <c r="S42" s="12"/>
      <c r="T42" s="12"/>
      <c r="U42" s="12"/>
    </row>
    <row r="43" spans="1:21" ht="30" customHeight="1" x14ac:dyDescent="0.3">
      <c r="A43" s="12"/>
      <c r="B43" s="12"/>
      <c r="C43" s="12"/>
      <c r="D43" s="15"/>
      <c r="E43" s="12"/>
      <c r="F43" s="12"/>
      <c r="G43" s="12"/>
      <c r="H43" s="12"/>
      <c r="I43" s="1" t="str">
        <f>IFERROR(INDEX(Listas!$B$7:$B$46,MATCH(J43,Listas!$A$7:$A$46,0)),"")</f>
        <v/>
      </c>
      <c r="J43" s="12"/>
      <c r="K43" s="12"/>
      <c r="L43" s="12"/>
      <c r="M43" s="12"/>
      <c r="N43" s="12"/>
      <c r="O43" s="12"/>
      <c r="P43" s="12"/>
      <c r="Q43" s="12"/>
      <c r="R43" s="12"/>
      <c r="S43" s="12"/>
      <c r="T43" s="12"/>
      <c r="U43" s="12"/>
    </row>
    <row r="44" spans="1:21" ht="30" customHeight="1" x14ac:dyDescent="0.3">
      <c r="A44" s="12"/>
      <c r="B44" s="12"/>
      <c r="C44" s="12"/>
      <c r="D44" s="15"/>
      <c r="E44" s="12"/>
      <c r="F44" s="12"/>
      <c r="G44" s="12"/>
      <c r="H44" s="12"/>
      <c r="I44" s="1" t="str">
        <f>IFERROR(INDEX(Listas!$B$7:$B$46,MATCH(J44,Listas!$A$7:$A$46,0)),"")</f>
        <v/>
      </c>
      <c r="J44" s="12"/>
      <c r="K44" s="12"/>
      <c r="L44" s="12"/>
      <c r="M44" s="12"/>
      <c r="N44" s="12"/>
      <c r="O44" s="12"/>
      <c r="P44" s="12"/>
      <c r="Q44" s="12"/>
      <c r="R44" s="12"/>
      <c r="S44" s="12"/>
      <c r="T44" s="12"/>
      <c r="U44" s="12"/>
    </row>
    <row r="45" spans="1:21" ht="30" customHeight="1" x14ac:dyDescent="0.3">
      <c r="A45" s="12"/>
      <c r="B45" s="12"/>
      <c r="C45" s="12"/>
      <c r="D45" s="15"/>
      <c r="E45" s="12"/>
      <c r="F45" s="12"/>
      <c r="G45" s="12"/>
      <c r="H45" s="12"/>
      <c r="I45" s="1" t="str">
        <f>IFERROR(INDEX(Listas!$B$7:$B$46,MATCH(J45,Listas!$A$7:$A$46,0)),"")</f>
        <v/>
      </c>
      <c r="J45" s="12"/>
      <c r="K45" s="12"/>
      <c r="L45" s="12"/>
      <c r="M45" s="12"/>
      <c r="N45" s="12"/>
      <c r="O45" s="12"/>
      <c r="P45" s="12"/>
      <c r="Q45" s="12"/>
      <c r="R45" s="12"/>
      <c r="S45" s="12"/>
      <c r="T45" s="12"/>
      <c r="U45" s="12"/>
    </row>
    <row r="46" spans="1:21" ht="30" customHeight="1" x14ac:dyDescent="0.3">
      <c r="A46" s="12"/>
      <c r="B46" s="12"/>
      <c r="C46" s="12"/>
      <c r="D46" s="15"/>
      <c r="E46" s="12"/>
      <c r="F46" s="12"/>
      <c r="G46" s="12"/>
      <c r="H46" s="12"/>
      <c r="I46" s="1" t="str">
        <f>IFERROR(INDEX(Listas!$B$7:$B$46,MATCH(J46,Listas!$A$7:$A$46,0)),"")</f>
        <v/>
      </c>
      <c r="J46" s="12"/>
      <c r="K46" s="12"/>
      <c r="L46" s="12"/>
      <c r="M46" s="12"/>
      <c r="N46" s="12"/>
      <c r="O46" s="12"/>
      <c r="P46" s="12"/>
      <c r="Q46" s="12"/>
      <c r="R46" s="12"/>
      <c r="S46" s="12"/>
      <c r="T46" s="12"/>
      <c r="U46" s="12"/>
    </row>
    <row r="47" spans="1:21" ht="30" customHeight="1" x14ac:dyDescent="0.3">
      <c r="A47" s="12"/>
      <c r="B47" s="12"/>
      <c r="C47" s="12"/>
      <c r="D47" s="15"/>
      <c r="E47" s="12"/>
      <c r="F47" s="12"/>
      <c r="G47" s="12"/>
      <c r="H47" s="12"/>
      <c r="I47" s="1" t="str">
        <f>IFERROR(INDEX(Listas!$B$7:$B$46,MATCH(J47,Listas!$A$7:$A$46,0)),"")</f>
        <v/>
      </c>
      <c r="J47" s="12"/>
      <c r="K47" s="12"/>
      <c r="L47" s="12"/>
      <c r="M47" s="12"/>
      <c r="N47" s="12"/>
      <c r="O47" s="12"/>
      <c r="P47" s="12"/>
      <c r="Q47" s="12"/>
      <c r="R47" s="12"/>
      <c r="S47" s="12"/>
      <c r="T47" s="12"/>
      <c r="U47" s="12"/>
    </row>
    <row r="48" spans="1:21" ht="30" customHeight="1" x14ac:dyDescent="0.3">
      <c r="A48" s="12"/>
      <c r="B48" s="12"/>
      <c r="C48" s="12"/>
      <c r="D48" s="15"/>
      <c r="E48" s="12"/>
      <c r="F48" s="12"/>
      <c r="G48" s="12"/>
      <c r="H48" s="12"/>
      <c r="I48" s="1" t="str">
        <f>IFERROR(INDEX(Listas!$B$7:$B$46,MATCH(J48,Listas!$A$7:$A$46,0)),"")</f>
        <v/>
      </c>
      <c r="J48" s="12"/>
      <c r="K48" s="12"/>
      <c r="L48" s="12"/>
      <c r="M48" s="12"/>
      <c r="N48" s="12"/>
      <c r="O48" s="12"/>
      <c r="P48" s="12"/>
      <c r="Q48" s="12"/>
      <c r="R48" s="12"/>
      <c r="S48" s="12"/>
      <c r="T48" s="12"/>
      <c r="U48" s="12"/>
    </row>
    <row r="49" spans="1:21" ht="30" customHeight="1" x14ac:dyDescent="0.3">
      <c r="A49" s="12"/>
      <c r="B49" s="12"/>
      <c r="C49" s="12"/>
      <c r="D49" s="15"/>
      <c r="E49" s="12"/>
      <c r="F49" s="12"/>
      <c r="G49" s="12"/>
      <c r="H49" s="12"/>
      <c r="I49" s="1" t="str">
        <f>IFERROR(INDEX(Listas!$B$7:$B$46,MATCH(J49,Listas!$A$7:$A$46,0)),"")</f>
        <v/>
      </c>
      <c r="J49" s="12"/>
      <c r="K49" s="12"/>
      <c r="L49" s="12"/>
      <c r="M49" s="12"/>
      <c r="N49" s="12"/>
      <c r="O49" s="12"/>
      <c r="P49" s="12"/>
      <c r="Q49" s="12"/>
      <c r="R49" s="12"/>
      <c r="S49" s="12"/>
      <c r="T49" s="12"/>
      <c r="U49" s="12"/>
    </row>
    <row r="50" spans="1:21" ht="30" customHeight="1" x14ac:dyDescent="0.3">
      <c r="A50" s="12"/>
      <c r="B50" s="12"/>
      <c r="C50" s="12"/>
      <c r="D50" s="15"/>
      <c r="E50" s="12"/>
      <c r="F50" s="12"/>
      <c r="G50" s="12"/>
      <c r="H50" s="12"/>
      <c r="I50" s="1" t="str">
        <f>IFERROR(INDEX(Listas!$B$7:$B$46,MATCH(J50,Listas!$A$7:$A$46,0)),"")</f>
        <v/>
      </c>
      <c r="J50" s="12"/>
      <c r="K50" s="12"/>
      <c r="L50" s="12"/>
      <c r="M50" s="12"/>
      <c r="N50" s="12"/>
      <c r="O50" s="12"/>
      <c r="P50" s="12"/>
      <c r="Q50" s="12"/>
      <c r="R50" s="12"/>
      <c r="S50" s="12"/>
      <c r="T50" s="12"/>
      <c r="U50" s="12"/>
    </row>
    <row r="51" spans="1:21" ht="30" customHeight="1" x14ac:dyDescent="0.3">
      <c r="A51" s="12"/>
      <c r="B51" s="12"/>
      <c r="C51" s="12"/>
      <c r="D51" s="15"/>
      <c r="E51" s="12"/>
      <c r="F51" s="12"/>
      <c r="G51" s="12"/>
      <c r="H51" s="12"/>
      <c r="I51" s="1" t="str">
        <f>IFERROR(INDEX(Listas!$B$7:$B$46,MATCH(J51,Listas!$A$7:$A$46,0)),"")</f>
        <v/>
      </c>
      <c r="J51" s="12"/>
      <c r="K51" s="12"/>
      <c r="L51" s="12"/>
      <c r="M51" s="12"/>
      <c r="N51" s="12"/>
      <c r="O51" s="12"/>
      <c r="P51" s="12"/>
      <c r="Q51" s="12"/>
      <c r="R51" s="12"/>
      <c r="S51" s="12"/>
      <c r="T51" s="12"/>
      <c r="U51" s="12"/>
    </row>
    <row r="52" spans="1:21" ht="30" customHeight="1" x14ac:dyDescent="0.3">
      <c r="A52" s="12"/>
      <c r="B52" s="12"/>
      <c r="C52" s="12"/>
      <c r="D52" s="15"/>
      <c r="E52" s="12"/>
      <c r="F52" s="12"/>
      <c r="G52" s="12"/>
      <c r="H52" s="12"/>
      <c r="I52" s="1" t="str">
        <f>IFERROR(INDEX(Listas!$B$7:$B$46,MATCH(J52,Listas!$A$7:$A$46,0)),"")</f>
        <v/>
      </c>
      <c r="J52" s="12"/>
      <c r="K52" s="12"/>
      <c r="L52" s="12"/>
      <c r="M52" s="12"/>
      <c r="N52" s="12"/>
      <c r="O52" s="12"/>
      <c r="P52" s="12"/>
      <c r="Q52" s="12"/>
      <c r="R52" s="12"/>
      <c r="S52" s="12"/>
      <c r="T52" s="12"/>
      <c r="U52" s="12"/>
    </row>
    <row r="53" spans="1:21" ht="30" customHeight="1" x14ac:dyDescent="0.3">
      <c r="A53" s="12"/>
      <c r="B53" s="12"/>
      <c r="C53" s="12"/>
      <c r="D53" s="15"/>
      <c r="E53" s="12"/>
      <c r="F53" s="12"/>
      <c r="G53" s="12"/>
      <c r="H53" s="12"/>
      <c r="I53" s="1" t="str">
        <f>IFERROR(INDEX(Listas!$B$7:$B$46,MATCH(J53,Listas!$A$7:$A$46,0)),"")</f>
        <v/>
      </c>
      <c r="J53" s="12"/>
      <c r="K53" s="12"/>
      <c r="L53" s="12"/>
      <c r="M53" s="12"/>
      <c r="N53" s="12"/>
      <c r="O53" s="12"/>
      <c r="P53" s="12"/>
      <c r="Q53" s="12"/>
      <c r="R53" s="12"/>
      <c r="S53" s="12"/>
      <c r="T53" s="12"/>
      <c r="U53" s="12"/>
    </row>
    <row r="54" spans="1:21" ht="30" customHeight="1" x14ac:dyDescent="0.3">
      <c r="A54" s="12"/>
      <c r="B54" s="12"/>
      <c r="C54" s="12"/>
      <c r="D54" s="15"/>
      <c r="E54" s="12"/>
      <c r="F54" s="12"/>
      <c r="G54" s="12"/>
      <c r="H54" s="12"/>
      <c r="I54" s="1" t="str">
        <f>IFERROR(INDEX(Listas!$B$7:$B$46,MATCH(J54,Listas!$A$7:$A$46,0)),"")</f>
        <v/>
      </c>
      <c r="J54" s="12"/>
      <c r="K54" s="12"/>
      <c r="L54" s="12"/>
      <c r="M54" s="12"/>
      <c r="N54" s="12"/>
      <c r="O54" s="12"/>
      <c r="P54" s="12"/>
      <c r="Q54" s="12"/>
      <c r="R54" s="12"/>
      <c r="S54" s="12"/>
      <c r="T54" s="12"/>
      <c r="U54" s="12"/>
    </row>
    <row r="55" spans="1:21" ht="30" customHeight="1" x14ac:dyDescent="0.3">
      <c r="A55" s="12"/>
      <c r="B55" s="12"/>
      <c r="C55" s="12"/>
      <c r="D55" s="15"/>
      <c r="E55" s="12"/>
      <c r="F55" s="12"/>
      <c r="G55" s="12"/>
      <c r="H55" s="12"/>
      <c r="I55" s="1" t="str">
        <f>IFERROR(INDEX(Listas!$B$7:$B$46,MATCH(J55,Listas!$A$7:$A$46,0)),"")</f>
        <v/>
      </c>
      <c r="J55" s="12"/>
      <c r="K55" s="12"/>
      <c r="L55" s="12"/>
      <c r="M55" s="12"/>
      <c r="N55" s="12"/>
      <c r="O55" s="12"/>
      <c r="P55" s="12"/>
      <c r="Q55" s="12"/>
      <c r="R55" s="12"/>
      <c r="S55" s="12"/>
      <c r="T55" s="12"/>
      <c r="U55" s="12"/>
    </row>
    <row r="56" spans="1:21" ht="30" customHeight="1" x14ac:dyDescent="0.3">
      <c r="A56" s="12"/>
      <c r="B56" s="12"/>
      <c r="C56" s="12"/>
      <c r="D56" s="15"/>
      <c r="E56" s="12"/>
      <c r="F56" s="12"/>
      <c r="G56" s="12"/>
      <c r="H56" s="12"/>
      <c r="I56" s="1" t="str">
        <f>IFERROR(INDEX(Listas!$B$7:$B$46,MATCH(J56,Listas!$A$7:$A$46,0)),"")</f>
        <v/>
      </c>
      <c r="J56" s="12"/>
      <c r="K56" s="12"/>
      <c r="L56" s="12"/>
      <c r="M56" s="12"/>
      <c r="N56" s="12"/>
      <c r="O56" s="12"/>
      <c r="P56" s="12"/>
      <c r="Q56" s="12"/>
      <c r="R56" s="12"/>
      <c r="S56" s="12"/>
      <c r="T56" s="12"/>
      <c r="U56" s="12"/>
    </row>
    <row r="57" spans="1:21" ht="30" customHeight="1" x14ac:dyDescent="0.3">
      <c r="A57" s="12"/>
      <c r="B57" s="12"/>
      <c r="C57" s="12"/>
      <c r="D57" s="15"/>
      <c r="E57" s="12"/>
      <c r="F57" s="12"/>
      <c r="G57" s="12"/>
      <c r="H57" s="12"/>
      <c r="I57" s="1" t="str">
        <f>IFERROR(INDEX(Listas!$B$7:$B$46,MATCH(J57,Listas!$A$7:$A$46,0)),"")</f>
        <v/>
      </c>
      <c r="J57" s="12"/>
      <c r="K57" s="12"/>
      <c r="L57" s="12"/>
      <c r="M57" s="12"/>
      <c r="N57" s="12"/>
      <c r="O57" s="12"/>
      <c r="P57" s="12"/>
      <c r="Q57" s="12"/>
      <c r="R57" s="12"/>
      <c r="S57" s="12"/>
      <c r="T57" s="12"/>
      <c r="U57" s="12"/>
    </row>
    <row r="58" spans="1:21" ht="30" customHeight="1" x14ac:dyDescent="0.3">
      <c r="A58" s="12"/>
      <c r="B58" s="12"/>
      <c r="C58" s="12"/>
      <c r="D58" s="15"/>
      <c r="E58" s="12"/>
      <c r="F58" s="12"/>
      <c r="G58" s="12"/>
      <c r="H58" s="12"/>
      <c r="I58" s="1" t="str">
        <f>IFERROR(INDEX(Listas!$B$7:$B$46,MATCH(J58,Listas!$A$7:$A$46,0)),"")</f>
        <v/>
      </c>
      <c r="J58" s="12"/>
      <c r="K58" s="12"/>
      <c r="L58" s="12"/>
      <c r="M58" s="12"/>
      <c r="N58" s="12"/>
      <c r="O58" s="12"/>
      <c r="P58" s="12"/>
      <c r="Q58" s="12"/>
      <c r="R58" s="12"/>
      <c r="S58" s="12"/>
      <c r="T58" s="12"/>
      <c r="U58" s="12"/>
    </row>
    <row r="59" spans="1:21" ht="30" customHeight="1" x14ac:dyDescent="0.3">
      <c r="A59" s="12"/>
      <c r="B59" s="12"/>
      <c r="C59" s="12"/>
      <c r="D59" s="15"/>
      <c r="E59" s="12"/>
      <c r="F59" s="12"/>
      <c r="G59" s="12"/>
      <c r="H59" s="12"/>
      <c r="I59" s="1" t="str">
        <f>IFERROR(INDEX(Listas!$B$7:$B$46,MATCH(J59,Listas!$A$7:$A$46,0)),"")</f>
        <v/>
      </c>
      <c r="J59" s="12"/>
      <c r="K59" s="12"/>
      <c r="L59" s="12"/>
      <c r="M59" s="12"/>
      <c r="N59" s="12"/>
      <c r="O59" s="12"/>
      <c r="P59" s="12"/>
      <c r="Q59" s="12"/>
      <c r="R59" s="12"/>
      <c r="S59" s="12"/>
      <c r="T59" s="12"/>
      <c r="U59" s="12"/>
    </row>
    <row r="60" spans="1:21" ht="30" customHeight="1" x14ac:dyDescent="0.3">
      <c r="A60" s="12"/>
      <c r="B60" s="12"/>
      <c r="C60" s="12"/>
      <c r="D60" s="15"/>
      <c r="E60" s="12"/>
      <c r="F60" s="12"/>
      <c r="G60" s="12"/>
      <c r="H60" s="12"/>
      <c r="I60" s="1" t="str">
        <f>IFERROR(INDEX(Listas!$B$7:$B$46,MATCH(J60,Listas!$A$7:$A$46,0)),"")</f>
        <v/>
      </c>
      <c r="J60" s="12"/>
      <c r="K60" s="12"/>
      <c r="L60" s="12"/>
      <c r="M60" s="12"/>
      <c r="N60" s="12"/>
      <c r="O60" s="12"/>
      <c r="P60" s="12"/>
      <c r="Q60" s="12"/>
      <c r="R60" s="12"/>
      <c r="S60" s="12"/>
      <c r="T60" s="12"/>
      <c r="U60" s="12"/>
    </row>
    <row r="61" spans="1:21" ht="30" customHeight="1" x14ac:dyDescent="0.3">
      <c r="A61" s="12"/>
      <c r="B61" s="12"/>
      <c r="C61" s="12"/>
      <c r="D61" s="15"/>
      <c r="E61" s="12"/>
      <c r="F61" s="12"/>
      <c r="G61" s="12"/>
      <c r="H61" s="12"/>
      <c r="I61" s="1" t="str">
        <f>IFERROR(INDEX(Listas!$B$7:$B$46,MATCH(J61,Listas!$A$7:$A$46,0)),"")</f>
        <v/>
      </c>
      <c r="J61" s="12"/>
      <c r="K61" s="12"/>
      <c r="L61" s="12"/>
      <c r="M61" s="12"/>
      <c r="N61" s="12"/>
      <c r="O61" s="12"/>
      <c r="P61" s="12"/>
      <c r="Q61" s="12"/>
      <c r="R61" s="12"/>
      <c r="S61" s="12"/>
      <c r="T61" s="12"/>
      <c r="U61" s="12"/>
    </row>
    <row r="62" spans="1:21" ht="30" customHeight="1" x14ac:dyDescent="0.3">
      <c r="A62" s="12"/>
      <c r="B62" s="12"/>
      <c r="C62" s="12"/>
      <c r="D62" s="15"/>
      <c r="E62" s="12"/>
      <c r="F62" s="12"/>
      <c r="G62" s="12"/>
      <c r="H62" s="12"/>
      <c r="I62" s="1" t="str">
        <f>IFERROR(INDEX(Listas!$B$7:$B$46,MATCH(J62,Listas!$A$7:$A$46,0)),"")</f>
        <v/>
      </c>
      <c r="J62" s="12"/>
      <c r="K62" s="12"/>
      <c r="L62" s="12"/>
      <c r="M62" s="12"/>
      <c r="N62" s="12"/>
      <c r="O62" s="12"/>
      <c r="P62" s="12"/>
      <c r="Q62" s="12"/>
      <c r="R62" s="12"/>
      <c r="S62" s="12"/>
      <c r="T62" s="12"/>
      <c r="U62" s="12"/>
    </row>
    <row r="63" spans="1:21" ht="30" customHeight="1" x14ac:dyDescent="0.3">
      <c r="A63" s="12"/>
      <c r="B63" s="12"/>
      <c r="C63" s="12"/>
      <c r="D63" s="15"/>
      <c r="E63" s="12"/>
      <c r="F63" s="12"/>
      <c r="G63" s="12"/>
      <c r="H63" s="12"/>
      <c r="I63" s="1" t="str">
        <f>IFERROR(INDEX(Listas!$B$7:$B$46,MATCH(J63,Listas!$A$7:$A$46,0)),"")</f>
        <v/>
      </c>
      <c r="J63" s="12"/>
      <c r="K63" s="12"/>
      <c r="L63" s="12"/>
      <c r="M63" s="12"/>
      <c r="N63" s="12"/>
      <c r="O63" s="12"/>
      <c r="P63" s="12"/>
      <c r="Q63" s="12"/>
      <c r="R63" s="12"/>
      <c r="S63" s="12"/>
      <c r="T63" s="12"/>
      <c r="U63" s="12"/>
    </row>
    <row r="64" spans="1:21" ht="30" customHeight="1" x14ac:dyDescent="0.3">
      <c r="A64" s="12"/>
      <c r="B64" s="12"/>
      <c r="C64" s="12"/>
      <c r="D64" s="15"/>
      <c r="E64" s="12"/>
      <c r="F64" s="12"/>
      <c r="G64" s="12"/>
      <c r="H64" s="12"/>
      <c r="I64" s="1" t="str">
        <f>IFERROR(INDEX(Listas!$B$7:$B$46,MATCH(J64,Listas!$A$7:$A$46,0)),"")</f>
        <v/>
      </c>
      <c r="J64" s="12"/>
      <c r="K64" s="12"/>
      <c r="L64" s="12"/>
      <c r="M64" s="12"/>
      <c r="N64" s="12"/>
      <c r="O64" s="12"/>
      <c r="P64" s="12"/>
      <c r="Q64" s="12"/>
      <c r="R64" s="12"/>
      <c r="S64" s="12"/>
      <c r="T64" s="12"/>
      <c r="U64" s="12"/>
    </row>
    <row r="65" spans="1:21" ht="30" customHeight="1" x14ac:dyDescent="0.3">
      <c r="A65" s="12"/>
      <c r="B65" s="12"/>
      <c r="C65" s="12"/>
      <c r="D65" s="15"/>
      <c r="E65" s="12"/>
      <c r="F65" s="12"/>
      <c r="G65" s="12"/>
      <c r="H65" s="12"/>
      <c r="I65" s="1" t="str">
        <f>IFERROR(INDEX(Listas!$B$7:$B$46,MATCH(J65,Listas!$A$7:$A$46,0)),"")</f>
        <v/>
      </c>
      <c r="J65" s="12"/>
      <c r="K65" s="12"/>
      <c r="L65" s="12"/>
      <c r="M65" s="12"/>
      <c r="N65" s="12"/>
      <c r="O65" s="12"/>
      <c r="P65" s="12"/>
      <c r="Q65" s="12"/>
      <c r="R65" s="12"/>
      <c r="S65" s="12"/>
      <c r="T65" s="12"/>
      <c r="U65" s="12"/>
    </row>
    <row r="66" spans="1:21" ht="30" customHeight="1" x14ac:dyDescent="0.3">
      <c r="A66" s="12"/>
      <c r="B66" s="12"/>
      <c r="C66" s="12"/>
      <c r="D66" s="15"/>
      <c r="E66" s="12"/>
      <c r="F66" s="12"/>
      <c r="G66" s="12"/>
      <c r="H66" s="12"/>
      <c r="I66" s="1" t="str">
        <f>IFERROR(INDEX(Listas!$B$7:$B$46,MATCH(J66,Listas!$A$7:$A$46,0)),"")</f>
        <v/>
      </c>
      <c r="J66" s="12"/>
      <c r="K66" s="12"/>
      <c r="L66" s="12"/>
      <c r="M66" s="12"/>
      <c r="N66" s="12"/>
      <c r="O66" s="12"/>
      <c r="P66" s="12"/>
      <c r="Q66" s="12"/>
      <c r="R66" s="12"/>
      <c r="S66" s="12"/>
      <c r="T66" s="12"/>
      <c r="U66" s="12"/>
    </row>
    <row r="67" spans="1:21" ht="30" customHeight="1" x14ac:dyDescent="0.3">
      <c r="A67" s="12"/>
      <c r="B67" s="12"/>
      <c r="C67" s="12"/>
      <c r="D67" s="15"/>
      <c r="E67" s="12"/>
      <c r="F67" s="12"/>
      <c r="G67" s="12"/>
      <c r="H67" s="12"/>
      <c r="I67" s="1" t="str">
        <f>IFERROR(INDEX(Listas!$B$7:$B$46,MATCH(J67,Listas!$A$7:$A$46,0)),"")</f>
        <v/>
      </c>
      <c r="J67" s="12"/>
      <c r="K67" s="12"/>
      <c r="L67" s="12"/>
      <c r="M67" s="12"/>
      <c r="N67" s="12"/>
      <c r="O67" s="12"/>
      <c r="P67" s="12"/>
      <c r="Q67" s="12"/>
      <c r="R67" s="12"/>
      <c r="S67" s="12"/>
      <c r="T67" s="12"/>
      <c r="U67" s="12"/>
    </row>
    <row r="68" spans="1:21" ht="30" customHeight="1" x14ac:dyDescent="0.3">
      <c r="A68" s="12"/>
      <c r="B68" s="12"/>
      <c r="C68" s="12"/>
      <c r="D68" s="15"/>
      <c r="E68" s="12"/>
      <c r="F68" s="12"/>
      <c r="G68" s="12"/>
      <c r="H68" s="12"/>
      <c r="I68" s="1" t="str">
        <f>IFERROR(INDEX(Listas!$B$7:$B$46,MATCH(J68,Listas!$A$7:$A$46,0)),"")</f>
        <v/>
      </c>
      <c r="J68" s="12"/>
      <c r="K68" s="12"/>
      <c r="L68" s="12"/>
      <c r="M68" s="12"/>
      <c r="N68" s="12"/>
      <c r="O68" s="12"/>
      <c r="P68" s="12"/>
      <c r="Q68" s="12"/>
      <c r="R68" s="12"/>
      <c r="S68" s="12"/>
      <c r="T68" s="12"/>
      <c r="U68" s="12"/>
    </row>
    <row r="69" spans="1:21" ht="30" customHeight="1" x14ac:dyDescent="0.3">
      <c r="A69" s="12"/>
      <c r="B69" s="12"/>
      <c r="C69" s="12"/>
      <c r="D69" s="15"/>
      <c r="E69" s="12"/>
      <c r="F69" s="12"/>
      <c r="G69" s="12"/>
      <c r="H69" s="12"/>
      <c r="I69" s="1" t="str">
        <f>IFERROR(INDEX(Listas!$B$7:$B$46,MATCH(J69,Listas!$A$7:$A$46,0)),"")</f>
        <v/>
      </c>
      <c r="J69" s="12"/>
      <c r="K69" s="12"/>
      <c r="L69" s="12"/>
      <c r="M69" s="12"/>
      <c r="N69" s="12"/>
      <c r="O69" s="12"/>
      <c r="P69" s="12"/>
      <c r="Q69" s="12"/>
      <c r="R69" s="12"/>
      <c r="S69" s="12"/>
      <c r="T69" s="12"/>
      <c r="U69" s="12"/>
    </row>
    <row r="70" spans="1:21" ht="30" customHeight="1" x14ac:dyDescent="0.3">
      <c r="A70" s="12"/>
      <c r="B70" s="12"/>
      <c r="C70" s="12"/>
      <c r="D70" s="15"/>
      <c r="E70" s="12"/>
      <c r="F70" s="12"/>
      <c r="G70" s="12"/>
      <c r="H70" s="12"/>
      <c r="I70" s="1" t="str">
        <f>IFERROR(INDEX(Listas!$B$7:$B$46,MATCH(J70,Listas!$A$7:$A$46,0)),"")</f>
        <v/>
      </c>
      <c r="J70" s="12"/>
      <c r="K70" s="12"/>
      <c r="L70" s="12"/>
      <c r="M70" s="12"/>
      <c r="N70" s="12"/>
      <c r="O70" s="12"/>
      <c r="P70" s="12"/>
      <c r="Q70" s="12"/>
      <c r="R70" s="12"/>
      <c r="S70" s="12"/>
      <c r="T70" s="12"/>
      <c r="U70" s="12"/>
    </row>
    <row r="71" spans="1:21" ht="30" customHeight="1" x14ac:dyDescent="0.3">
      <c r="A71" s="12"/>
      <c r="B71" s="12"/>
      <c r="C71" s="12"/>
      <c r="D71" s="15"/>
      <c r="E71" s="12"/>
      <c r="F71" s="12"/>
      <c r="G71" s="12"/>
      <c r="H71" s="12"/>
      <c r="I71" s="1" t="str">
        <f>IFERROR(INDEX(Listas!$B$7:$B$46,MATCH(J71,Listas!$A$7:$A$46,0)),"")</f>
        <v/>
      </c>
      <c r="J71" s="12"/>
      <c r="K71" s="12"/>
      <c r="L71" s="12"/>
      <c r="M71" s="12"/>
      <c r="N71" s="12"/>
      <c r="O71" s="12"/>
      <c r="P71" s="12"/>
      <c r="Q71" s="12"/>
      <c r="R71" s="12"/>
      <c r="S71" s="12"/>
      <c r="T71" s="12"/>
      <c r="U71" s="12"/>
    </row>
    <row r="72" spans="1:21" ht="30" customHeight="1" x14ac:dyDescent="0.3">
      <c r="A72" s="12"/>
      <c r="B72" s="12"/>
      <c r="C72" s="12"/>
      <c r="D72" s="15"/>
      <c r="E72" s="12"/>
      <c r="F72" s="12"/>
      <c r="G72" s="12"/>
      <c r="H72" s="12"/>
      <c r="I72" s="1" t="str">
        <f>IFERROR(INDEX(Listas!$B$7:$B$46,MATCH(J72,Listas!$A$7:$A$46,0)),"")</f>
        <v/>
      </c>
      <c r="J72" s="12"/>
      <c r="K72" s="12"/>
      <c r="L72" s="12"/>
      <c r="M72" s="12"/>
      <c r="N72" s="12"/>
      <c r="O72" s="12"/>
      <c r="P72" s="12"/>
      <c r="Q72" s="12"/>
      <c r="R72" s="12"/>
      <c r="S72" s="12"/>
      <c r="T72" s="12"/>
      <c r="U72" s="12"/>
    </row>
    <row r="73" spans="1:21" ht="30" customHeight="1" x14ac:dyDescent="0.3">
      <c r="A73" s="12"/>
      <c r="B73" s="12"/>
      <c r="C73" s="12"/>
      <c r="D73" s="15"/>
      <c r="E73" s="12"/>
      <c r="F73" s="12"/>
      <c r="G73" s="12"/>
      <c r="H73" s="12"/>
      <c r="I73" s="1" t="str">
        <f>IFERROR(INDEX(Listas!$B$7:$B$46,MATCH(J73,Listas!$A$7:$A$46,0)),"")</f>
        <v/>
      </c>
      <c r="J73" s="12"/>
      <c r="K73" s="12"/>
      <c r="L73" s="12"/>
      <c r="M73" s="12"/>
      <c r="N73" s="12"/>
      <c r="O73" s="12"/>
      <c r="P73" s="12"/>
      <c r="Q73" s="12"/>
      <c r="R73" s="12"/>
      <c r="S73" s="12"/>
      <c r="T73" s="12"/>
      <c r="U73" s="12"/>
    </row>
    <row r="74" spans="1:21" ht="30" customHeight="1" x14ac:dyDescent="0.3">
      <c r="A74" s="12"/>
      <c r="B74" s="12"/>
      <c r="C74" s="12"/>
      <c r="D74" s="15"/>
      <c r="E74" s="12"/>
      <c r="F74" s="12"/>
      <c r="G74" s="12"/>
      <c r="H74" s="12"/>
      <c r="I74" s="1" t="str">
        <f>IFERROR(INDEX(Listas!$B$7:$B$46,MATCH(J74,Listas!$A$7:$A$46,0)),"")</f>
        <v/>
      </c>
      <c r="J74" s="12"/>
      <c r="K74" s="12"/>
      <c r="L74" s="12"/>
      <c r="M74" s="12"/>
      <c r="N74" s="12"/>
      <c r="O74" s="12"/>
      <c r="P74" s="12"/>
      <c r="Q74" s="12"/>
      <c r="R74" s="12"/>
      <c r="S74" s="12"/>
      <c r="T74" s="12"/>
      <c r="U74" s="12"/>
    </row>
    <row r="75" spans="1:21" ht="30" customHeight="1" x14ac:dyDescent="0.3">
      <c r="A75" s="12"/>
      <c r="B75" s="12"/>
      <c r="C75" s="12"/>
      <c r="D75" s="15"/>
      <c r="E75" s="12"/>
      <c r="F75" s="12"/>
      <c r="G75" s="12"/>
      <c r="H75" s="12"/>
      <c r="I75" s="1" t="str">
        <f>IFERROR(INDEX(Listas!$B$7:$B$46,MATCH(J75,Listas!$A$7:$A$46,0)),"")</f>
        <v/>
      </c>
      <c r="J75" s="12"/>
      <c r="K75" s="12"/>
      <c r="L75" s="12"/>
      <c r="M75" s="12"/>
      <c r="N75" s="12"/>
      <c r="O75" s="12"/>
      <c r="P75" s="12"/>
      <c r="Q75" s="12"/>
      <c r="R75" s="12"/>
      <c r="S75" s="12"/>
      <c r="T75" s="12"/>
      <c r="U75" s="12"/>
    </row>
    <row r="76" spans="1:21" ht="30" customHeight="1" x14ac:dyDescent="0.3">
      <c r="A76" s="12"/>
      <c r="B76" s="12"/>
      <c r="C76" s="12"/>
      <c r="D76" s="15"/>
      <c r="E76" s="12"/>
      <c r="F76" s="12"/>
      <c r="G76" s="12"/>
      <c r="H76" s="12"/>
      <c r="I76" s="1" t="str">
        <f>IFERROR(INDEX(Listas!$B$7:$B$46,MATCH(J76,Listas!$A$7:$A$46,0)),"")</f>
        <v/>
      </c>
      <c r="J76" s="12"/>
      <c r="K76" s="12"/>
      <c r="L76" s="12"/>
      <c r="M76" s="12"/>
      <c r="N76" s="12"/>
      <c r="O76" s="12"/>
      <c r="P76" s="12"/>
      <c r="Q76" s="12"/>
      <c r="R76" s="12"/>
      <c r="S76" s="12"/>
      <c r="T76" s="12"/>
      <c r="U76" s="12"/>
    </row>
    <row r="77" spans="1:21" ht="30" customHeight="1" x14ac:dyDescent="0.3">
      <c r="A77" s="12"/>
      <c r="B77" s="12"/>
      <c r="C77" s="12"/>
      <c r="D77" s="15"/>
      <c r="E77" s="12"/>
      <c r="F77" s="12"/>
      <c r="G77" s="12"/>
      <c r="H77" s="12"/>
      <c r="I77" s="1" t="str">
        <f>IFERROR(INDEX(Listas!$B$7:$B$46,MATCH(J77,Listas!$A$7:$A$46,0)),"")</f>
        <v/>
      </c>
      <c r="J77" s="12"/>
      <c r="K77" s="12"/>
      <c r="L77" s="12"/>
      <c r="M77" s="12"/>
      <c r="N77" s="12"/>
      <c r="O77" s="12"/>
      <c r="P77" s="12"/>
      <c r="Q77" s="12"/>
      <c r="R77" s="12"/>
      <c r="S77" s="12"/>
      <c r="T77" s="12"/>
      <c r="U77" s="12"/>
    </row>
    <row r="78" spans="1:21" ht="30" customHeight="1" x14ac:dyDescent="0.3">
      <c r="A78" s="12"/>
      <c r="B78" s="12"/>
      <c r="C78" s="12"/>
      <c r="D78" s="15"/>
      <c r="E78" s="12"/>
      <c r="F78" s="12"/>
      <c r="G78" s="12"/>
      <c r="H78" s="12"/>
      <c r="I78" s="1" t="str">
        <f>IFERROR(INDEX(Listas!$B$7:$B$46,MATCH(J78,Listas!$A$7:$A$46,0)),"")</f>
        <v/>
      </c>
      <c r="J78" s="12"/>
      <c r="K78" s="12"/>
      <c r="L78" s="12"/>
      <c r="M78" s="12"/>
      <c r="N78" s="12"/>
      <c r="O78" s="12"/>
      <c r="P78" s="12"/>
      <c r="Q78" s="12"/>
      <c r="R78" s="12"/>
      <c r="S78" s="12"/>
      <c r="T78" s="12"/>
      <c r="U78" s="12"/>
    </row>
    <row r="79" spans="1:21" ht="30" customHeight="1" x14ac:dyDescent="0.3">
      <c r="A79" s="12"/>
      <c r="B79" s="12"/>
      <c r="C79" s="12"/>
      <c r="D79" s="15"/>
      <c r="E79" s="12"/>
      <c r="F79" s="12"/>
      <c r="G79" s="12"/>
      <c r="H79" s="12"/>
      <c r="I79" s="1" t="str">
        <f>IFERROR(INDEX(Listas!$B$7:$B$46,MATCH(J79,Listas!$A$7:$A$46,0)),"")</f>
        <v/>
      </c>
      <c r="J79" s="12"/>
      <c r="K79" s="12"/>
      <c r="L79" s="12"/>
      <c r="M79" s="12"/>
      <c r="N79" s="12"/>
      <c r="O79" s="12"/>
      <c r="P79" s="12"/>
      <c r="Q79" s="12"/>
      <c r="R79" s="12"/>
      <c r="S79" s="12"/>
      <c r="T79" s="12"/>
      <c r="U79" s="12"/>
    </row>
    <row r="80" spans="1:21" ht="30" customHeight="1" x14ac:dyDescent="0.3">
      <c r="A80" s="12"/>
      <c r="B80" s="12"/>
      <c r="C80" s="12"/>
      <c r="D80" s="15"/>
      <c r="E80" s="12"/>
      <c r="F80" s="12"/>
      <c r="G80" s="12"/>
      <c r="H80" s="12"/>
      <c r="I80" s="1" t="str">
        <f>IFERROR(INDEX(Listas!$B$7:$B$46,MATCH(J80,Listas!$A$7:$A$46,0)),"")</f>
        <v/>
      </c>
      <c r="J80" s="12"/>
      <c r="K80" s="12"/>
      <c r="L80" s="12"/>
      <c r="M80" s="12"/>
      <c r="N80" s="12"/>
      <c r="O80" s="12"/>
      <c r="P80" s="12"/>
      <c r="Q80" s="12"/>
      <c r="R80" s="12"/>
      <c r="S80" s="12"/>
      <c r="T80" s="12"/>
      <c r="U80" s="12"/>
    </row>
    <row r="81" spans="1:21" ht="30" customHeight="1" x14ac:dyDescent="0.3">
      <c r="A81" s="12"/>
      <c r="B81" s="12"/>
      <c r="C81" s="12"/>
      <c r="D81" s="15"/>
      <c r="E81" s="12"/>
      <c r="F81" s="12"/>
      <c r="G81" s="12"/>
      <c r="H81" s="12"/>
      <c r="I81" s="1" t="str">
        <f>IFERROR(INDEX(Listas!$B$7:$B$46,MATCH(J81,Listas!$A$7:$A$46,0)),"")</f>
        <v/>
      </c>
      <c r="J81" s="12"/>
      <c r="K81" s="12"/>
      <c r="L81" s="12"/>
      <c r="M81" s="12"/>
      <c r="N81" s="12"/>
      <c r="O81" s="12"/>
      <c r="P81" s="12"/>
      <c r="Q81" s="12"/>
      <c r="R81" s="12"/>
      <c r="S81" s="12"/>
      <c r="T81" s="12"/>
      <c r="U81" s="12"/>
    </row>
    <row r="82" spans="1:21" ht="30" customHeight="1" x14ac:dyDescent="0.3">
      <c r="A82" s="12"/>
      <c r="B82" s="12"/>
      <c r="C82" s="12"/>
      <c r="D82" s="15"/>
      <c r="E82" s="12"/>
      <c r="F82" s="12"/>
      <c r="G82" s="12"/>
      <c r="H82" s="12"/>
      <c r="I82" s="1" t="str">
        <f>IFERROR(INDEX(Listas!$B$7:$B$46,MATCH(J82,Listas!$A$7:$A$46,0)),"")</f>
        <v/>
      </c>
      <c r="J82" s="12"/>
      <c r="K82" s="12"/>
      <c r="L82" s="12"/>
      <c r="M82" s="12"/>
      <c r="N82" s="12"/>
      <c r="O82" s="12"/>
      <c r="P82" s="12"/>
      <c r="Q82" s="12"/>
      <c r="R82" s="12"/>
      <c r="S82" s="12"/>
      <c r="T82" s="12"/>
      <c r="U82" s="12"/>
    </row>
    <row r="83" spans="1:21" ht="30" customHeight="1" x14ac:dyDescent="0.3">
      <c r="A83" s="12"/>
      <c r="B83" s="12"/>
      <c r="C83" s="12"/>
      <c r="D83" s="15"/>
      <c r="E83" s="12"/>
      <c r="F83" s="12"/>
      <c r="G83" s="12"/>
      <c r="H83" s="12"/>
      <c r="I83" s="1" t="str">
        <f>IFERROR(INDEX(Listas!$B$7:$B$46,MATCH(J83,Listas!$A$7:$A$46,0)),"")</f>
        <v/>
      </c>
      <c r="J83" s="12"/>
      <c r="K83" s="12"/>
      <c r="L83" s="12"/>
      <c r="M83" s="12"/>
      <c r="N83" s="12"/>
      <c r="O83" s="12"/>
      <c r="P83" s="12"/>
      <c r="Q83" s="12"/>
      <c r="R83" s="12"/>
      <c r="S83" s="12"/>
      <c r="T83" s="12"/>
      <c r="U83" s="12"/>
    </row>
    <row r="84" spans="1:21" ht="30" customHeight="1" x14ac:dyDescent="0.3">
      <c r="A84" s="12"/>
      <c r="B84" s="12"/>
      <c r="C84" s="12"/>
      <c r="D84" s="15"/>
      <c r="E84" s="12"/>
      <c r="F84" s="12"/>
      <c r="G84" s="12"/>
      <c r="H84" s="12"/>
      <c r="I84" s="1" t="str">
        <f>IFERROR(INDEX(Listas!$B$7:$B$46,MATCH(J84,Listas!$A$7:$A$46,0)),"")</f>
        <v/>
      </c>
      <c r="J84" s="12"/>
      <c r="K84" s="12"/>
      <c r="L84" s="12"/>
      <c r="M84" s="12"/>
      <c r="N84" s="12"/>
      <c r="O84" s="12"/>
      <c r="P84" s="12"/>
      <c r="Q84" s="12"/>
      <c r="R84" s="12"/>
      <c r="S84" s="12"/>
      <c r="T84" s="12"/>
      <c r="U84" s="12"/>
    </row>
    <row r="85" spans="1:21" ht="30" customHeight="1" x14ac:dyDescent="0.3">
      <c r="A85" s="12"/>
      <c r="B85" s="12"/>
      <c r="C85" s="12"/>
      <c r="D85" s="15"/>
      <c r="E85" s="12"/>
      <c r="F85" s="12"/>
      <c r="G85" s="12"/>
      <c r="H85" s="12"/>
      <c r="I85" s="1" t="str">
        <f>IFERROR(INDEX(Listas!$B$7:$B$46,MATCH(J85,Listas!$A$7:$A$46,0)),"")</f>
        <v/>
      </c>
      <c r="J85" s="12"/>
      <c r="K85" s="12"/>
      <c r="L85" s="12"/>
      <c r="M85" s="12"/>
      <c r="N85" s="12"/>
      <c r="O85" s="12"/>
      <c r="P85" s="12"/>
      <c r="Q85" s="12"/>
      <c r="R85" s="12"/>
      <c r="S85" s="12"/>
      <c r="T85" s="12"/>
      <c r="U85" s="12"/>
    </row>
    <row r="86" spans="1:21" ht="30" customHeight="1" x14ac:dyDescent="0.3">
      <c r="A86" s="12"/>
      <c r="B86" s="12"/>
      <c r="C86" s="12"/>
      <c r="D86" s="15"/>
      <c r="E86" s="12"/>
      <c r="F86" s="12"/>
      <c r="G86" s="12"/>
      <c r="H86" s="12"/>
      <c r="I86" s="1" t="str">
        <f>IFERROR(INDEX(Listas!$B$7:$B$46,MATCH(J86,Listas!$A$7:$A$46,0)),"")</f>
        <v/>
      </c>
      <c r="J86" s="12"/>
      <c r="K86" s="12"/>
      <c r="L86" s="12"/>
      <c r="M86" s="12"/>
      <c r="N86" s="12"/>
      <c r="O86" s="12"/>
      <c r="P86" s="12"/>
      <c r="Q86" s="12"/>
      <c r="R86" s="12"/>
      <c r="S86" s="12"/>
      <c r="T86" s="12"/>
      <c r="U86" s="12"/>
    </row>
    <row r="87" spans="1:21" ht="30" customHeight="1" x14ac:dyDescent="0.3">
      <c r="A87" s="12"/>
      <c r="B87" s="12"/>
      <c r="C87" s="12"/>
      <c r="D87" s="15"/>
      <c r="E87" s="12"/>
      <c r="F87" s="12"/>
      <c r="G87" s="12"/>
      <c r="H87" s="12"/>
      <c r="I87" s="1" t="str">
        <f>IFERROR(INDEX(Listas!$B$7:$B$46,MATCH(J87,Listas!$A$7:$A$46,0)),"")</f>
        <v/>
      </c>
      <c r="J87" s="12"/>
      <c r="K87" s="12"/>
      <c r="L87" s="12"/>
      <c r="M87" s="12"/>
      <c r="N87" s="12"/>
      <c r="O87" s="12"/>
      <c r="P87" s="12"/>
      <c r="Q87" s="12"/>
      <c r="R87" s="12"/>
      <c r="S87" s="12"/>
      <c r="T87" s="12"/>
      <c r="U87" s="12"/>
    </row>
    <row r="88" spans="1:21" ht="30" customHeight="1" x14ac:dyDescent="0.3">
      <c r="A88" s="12"/>
      <c r="B88" s="12"/>
      <c r="C88" s="12"/>
      <c r="D88" s="15"/>
      <c r="E88" s="12"/>
      <c r="F88" s="12"/>
      <c r="G88" s="12"/>
      <c r="H88" s="12"/>
      <c r="I88" s="1" t="str">
        <f>IFERROR(INDEX(Listas!$B$7:$B$46,MATCH(J88,Listas!$A$7:$A$46,0)),"")</f>
        <v/>
      </c>
      <c r="J88" s="12"/>
      <c r="K88" s="12"/>
      <c r="L88" s="12"/>
      <c r="M88" s="12"/>
      <c r="N88" s="12"/>
      <c r="O88" s="12"/>
      <c r="P88" s="12"/>
      <c r="Q88" s="12"/>
      <c r="R88" s="12"/>
      <c r="S88" s="12"/>
      <c r="T88" s="12"/>
      <c r="U88" s="12"/>
    </row>
    <row r="89" spans="1:21" ht="30" customHeight="1" x14ac:dyDescent="0.3">
      <c r="A89" s="12"/>
      <c r="B89" s="12"/>
      <c r="C89" s="12"/>
      <c r="D89" s="15"/>
      <c r="E89" s="12"/>
      <c r="F89" s="12"/>
      <c r="G89" s="12"/>
      <c r="H89" s="12"/>
      <c r="I89" s="1" t="str">
        <f>IFERROR(INDEX(Listas!$B$7:$B$46,MATCH(J89,Listas!$A$7:$A$46,0)),"")</f>
        <v/>
      </c>
      <c r="J89" s="12"/>
      <c r="K89" s="12"/>
      <c r="L89" s="12"/>
      <c r="M89" s="12"/>
      <c r="N89" s="12"/>
      <c r="O89" s="12"/>
      <c r="P89" s="12"/>
      <c r="Q89" s="12"/>
      <c r="R89" s="12"/>
      <c r="S89" s="12"/>
      <c r="T89" s="12"/>
      <c r="U89" s="12"/>
    </row>
    <row r="90" spans="1:21" ht="30" customHeight="1" x14ac:dyDescent="0.3">
      <c r="A90" s="12"/>
      <c r="B90" s="12"/>
      <c r="C90" s="12"/>
      <c r="D90" s="15"/>
      <c r="E90" s="12"/>
      <c r="F90" s="12"/>
      <c r="G90" s="12"/>
      <c r="H90" s="12"/>
      <c r="I90" s="1" t="str">
        <f>IFERROR(INDEX(Listas!$B$7:$B$46,MATCH(J90,Listas!$A$7:$A$46,0)),"")</f>
        <v/>
      </c>
      <c r="J90" s="12"/>
      <c r="K90" s="12"/>
      <c r="L90" s="12"/>
      <c r="M90" s="12"/>
      <c r="N90" s="12"/>
      <c r="O90" s="12"/>
      <c r="P90" s="12"/>
      <c r="Q90" s="12"/>
      <c r="R90" s="12"/>
      <c r="S90" s="12"/>
      <c r="T90" s="12"/>
      <c r="U90" s="12"/>
    </row>
    <row r="91" spans="1:21" ht="30" customHeight="1" x14ac:dyDescent="0.3">
      <c r="A91" s="12"/>
      <c r="B91" s="12"/>
      <c r="C91" s="12"/>
      <c r="D91" s="15"/>
      <c r="E91" s="12"/>
      <c r="F91" s="12"/>
      <c r="G91" s="12"/>
      <c r="H91" s="12"/>
      <c r="I91" s="1" t="str">
        <f>IFERROR(INDEX(Listas!$B$7:$B$46,MATCH(J91,Listas!$A$7:$A$46,0)),"")</f>
        <v/>
      </c>
      <c r="J91" s="12"/>
      <c r="K91" s="12"/>
      <c r="L91" s="12"/>
      <c r="M91" s="12"/>
      <c r="N91" s="12"/>
      <c r="O91" s="12"/>
      <c r="P91" s="12"/>
      <c r="Q91" s="12"/>
      <c r="R91" s="12"/>
      <c r="S91" s="12"/>
      <c r="T91" s="12"/>
      <c r="U91" s="12"/>
    </row>
    <row r="92" spans="1:21" ht="30" customHeight="1" x14ac:dyDescent="0.3">
      <c r="A92" s="12"/>
      <c r="B92" s="12"/>
      <c r="C92" s="12"/>
      <c r="D92" s="15"/>
      <c r="E92" s="12"/>
      <c r="F92" s="12"/>
      <c r="G92" s="12"/>
      <c r="H92" s="12"/>
      <c r="I92" s="1" t="str">
        <f>IFERROR(INDEX(Listas!$B$7:$B$46,MATCH(J92,Listas!$A$7:$A$46,0)),"")</f>
        <v/>
      </c>
      <c r="J92" s="12"/>
      <c r="K92" s="12"/>
      <c r="L92" s="12"/>
      <c r="M92" s="12"/>
      <c r="N92" s="12"/>
      <c r="O92" s="12"/>
      <c r="P92" s="12"/>
      <c r="Q92" s="12"/>
      <c r="R92" s="12"/>
      <c r="S92" s="12"/>
      <c r="T92" s="12"/>
      <c r="U92" s="12"/>
    </row>
    <row r="93" spans="1:21" ht="30" customHeight="1" x14ac:dyDescent="0.3">
      <c r="A93" s="12"/>
      <c r="B93" s="12"/>
      <c r="C93" s="12"/>
      <c r="D93" s="15"/>
      <c r="E93" s="12"/>
      <c r="F93" s="12"/>
      <c r="G93" s="12"/>
      <c r="H93" s="12"/>
      <c r="I93" s="1" t="str">
        <f>IFERROR(INDEX(Listas!$B$7:$B$46,MATCH(J93,Listas!$A$7:$A$46,0)),"")</f>
        <v/>
      </c>
      <c r="J93" s="12"/>
      <c r="K93" s="12"/>
      <c r="L93" s="12"/>
      <c r="M93" s="12"/>
      <c r="N93" s="12"/>
      <c r="O93" s="12"/>
      <c r="P93" s="12"/>
      <c r="Q93" s="12"/>
      <c r="R93" s="12"/>
      <c r="S93" s="12"/>
      <c r="T93" s="12"/>
      <c r="U93" s="12"/>
    </row>
    <row r="94" spans="1:21" ht="30" customHeight="1" x14ac:dyDescent="0.3">
      <c r="A94" s="12"/>
      <c r="B94" s="12"/>
      <c r="C94" s="12"/>
      <c r="D94" s="15"/>
      <c r="E94" s="12"/>
      <c r="F94" s="12"/>
      <c r="G94" s="12"/>
      <c r="H94" s="12"/>
      <c r="I94" s="1" t="str">
        <f>IFERROR(INDEX(Listas!$B$7:$B$46,MATCH(J94,Listas!$A$7:$A$46,0)),"")</f>
        <v/>
      </c>
      <c r="J94" s="12"/>
      <c r="K94" s="12"/>
      <c r="L94" s="12"/>
      <c r="M94" s="12"/>
      <c r="N94" s="12"/>
      <c r="O94" s="12"/>
      <c r="P94" s="12"/>
      <c r="Q94" s="12"/>
      <c r="R94" s="12"/>
      <c r="S94" s="12"/>
      <c r="T94" s="12"/>
      <c r="U94" s="12"/>
    </row>
    <row r="95" spans="1:21" ht="30" customHeight="1" x14ac:dyDescent="0.3">
      <c r="A95" s="12"/>
      <c r="B95" s="12"/>
      <c r="C95" s="12"/>
      <c r="D95" s="15"/>
      <c r="E95" s="12"/>
      <c r="F95" s="12"/>
      <c r="G95" s="12"/>
      <c r="H95" s="12"/>
      <c r="I95" s="1" t="str">
        <f>IFERROR(INDEX(Listas!$B$7:$B$46,MATCH(J95,Listas!$A$7:$A$46,0)),"")</f>
        <v/>
      </c>
      <c r="J95" s="12"/>
      <c r="K95" s="12"/>
      <c r="L95" s="12"/>
      <c r="M95" s="12"/>
      <c r="N95" s="12"/>
      <c r="O95" s="12"/>
      <c r="P95" s="12"/>
      <c r="Q95" s="12"/>
      <c r="R95" s="12"/>
      <c r="S95" s="12"/>
      <c r="T95" s="12"/>
      <c r="U95" s="12"/>
    </row>
    <row r="96" spans="1:21" ht="30" customHeight="1" x14ac:dyDescent="0.3">
      <c r="A96" s="12"/>
      <c r="B96" s="12"/>
      <c r="C96" s="12"/>
      <c r="D96" s="15"/>
      <c r="E96" s="12"/>
      <c r="F96" s="12"/>
      <c r="G96" s="12"/>
      <c r="H96" s="12"/>
      <c r="I96" s="1" t="str">
        <f>IFERROR(INDEX(Listas!$B$7:$B$46,MATCH(J96,Listas!$A$7:$A$46,0)),"")</f>
        <v/>
      </c>
      <c r="J96" s="12"/>
      <c r="K96" s="12"/>
      <c r="L96" s="12"/>
      <c r="M96" s="12"/>
      <c r="N96" s="12"/>
      <c r="O96" s="12"/>
      <c r="P96" s="12"/>
      <c r="Q96" s="12"/>
      <c r="R96" s="12"/>
      <c r="S96" s="12"/>
      <c r="T96" s="12"/>
      <c r="U96" s="12"/>
    </row>
    <row r="97" spans="1:21" ht="30" customHeight="1" x14ac:dyDescent="0.3">
      <c r="A97" s="12"/>
      <c r="B97" s="12"/>
      <c r="C97" s="12"/>
      <c r="D97" s="15"/>
      <c r="E97" s="12"/>
      <c r="F97" s="12"/>
      <c r="G97" s="12"/>
      <c r="H97" s="12"/>
      <c r="I97" s="1" t="str">
        <f>IFERROR(INDEX(Listas!$B$7:$B$46,MATCH(J97,Listas!$A$7:$A$46,0)),"")</f>
        <v/>
      </c>
      <c r="J97" s="12"/>
      <c r="K97" s="12"/>
      <c r="L97" s="12"/>
      <c r="M97" s="12"/>
      <c r="N97" s="12"/>
      <c r="O97" s="12"/>
      <c r="P97" s="12"/>
      <c r="Q97" s="12"/>
      <c r="R97" s="12"/>
      <c r="S97" s="12"/>
      <c r="T97" s="12"/>
      <c r="U97" s="12"/>
    </row>
    <row r="98" spans="1:21" ht="30" customHeight="1" x14ac:dyDescent="0.3">
      <c r="A98" s="12"/>
      <c r="B98" s="12"/>
      <c r="C98" s="12"/>
      <c r="D98" s="15"/>
      <c r="E98" s="12"/>
      <c r="F98" s="12"/>
      <c r="G98" s="12"/>
      <c r="H98" s="12"/>
      <c r="I98" s="1" t="str">
        <f>IFERROR(INDEX(Listas!$B$7:$B$46,MATCH(J98,Listas!$A$7:$A$46,0)),"")</f>
        <v/>
      </c>
      <c r="J98" s="12"/>
      <c r="K98" s="12"/>
      <c r="L98" s="12"/>
      <c r="M98" s="12"/>
      <c r="N98" s="12"/>
      <c r="O98" s="12"/>
      <c r="P98" s="12"/>
      <c r="Q98" s="12"/>
      <c r="R98" s="12"/>
      <c r="S98" s="12"/>
      <c r="T98" s="12"/>
      <c r="U98" s="12"/>
    </row>
    <row r="99" spans="1:21" ht="30" customHeight="1" x14ac:dyDescent="0.3">
      <c r="A99" s="12"/>
      <c r="B99" s="12"/>
      <c r="C99" s="12"/>
      <c r="D99" s="15"/>
      <c r="E99" s="12"/>
      <c r="F99" s="12"/>
      <c r="G99" s="12"/>
      <c r="H99" s="12"/>
      <c r="I99" s="1" t="str">
        <f>IFERROR(INDEX(Listas!$B$7:$B$46,MATCH(J99,Listas!$A$7:$A$46,0)),"")</f>
        <v/>
      </c>
      <c r="J99" s="12"/>
      <c r="K99" s="12"/>
      <c r="L99" s="12"/>
      <c r="M99" s="12"/>
      <c r="N99" s="12"/>
      <c r="O99" s="12"/>
      <c r="P99" s="12"/>
      <c r="Q99" s="12"/>
      <c r="R99" s="12"/>
      <c r="S99" s="12"/>
      <c r="T99" s="12"/>
      <c r="U99" s="12"/>
    </row>
    <row r="100" spans="1:21" ht="30" customHeight="1" x14ac:dyDescent="0.3">
      <c r="A100" s="12"/>
      <c r="B100" s="12"/>
      <c r="C100" s="12"/>
      <c r="D100" s="15"/>
      <c r="E100" s="12"/>
      <c r="F100" s="12"/>
      <c r="G100" s="12"/>
      <c r="H100" s="12"/>
      <c r="I100" s="1" t="str">
        <f>IFERROR(INDEX(Listas!$B$7:$B$46,MATCH(J100,Listas!$A$7:$A$46,0)),"")</f>
        <v/>
      </c>
      <c r="J100" s="12"/>
      <c r="K100" s="12"/>
      <c r="L100" s="12"/>
      <c r="M100" s="12"/>
      <c r="N100" s="12"/>
      <c r="O100" s="12"/>
      <c r="P100" s="12"/>
      <c r="Q100" s="12"/>
      <c r="R100" s="12"/>
      <c r="S100" s="12"/>
      <c r="T100" s="12"/>
      <c r="U100" s="12"/>
    </row>
    <row r="101" spans="1:21" ht="30" customHeight="1" x14ac:dyDescent="0.3">
      <c r="A101" s="12"/>
      <c r="B101" s="12"/>
      <c r="C101" s="12"/>
      <c r="D101" s="15"/>
      <c r="E101" s="12"/>
      <c r="F101" s="12"/>
      <c r="G101" s="12"/>
      <c r="H101" s="12"/>
      <c r="I101" s="1" t="str">
        <f>IFERROR(INDEX(Listas!$B$7:$B$46,MATCH(J101,Listas!$A$7:$A$46,0)),"")</f>
        <v/>
      </c>
      <c r="J101" s="12"/>
      <c r="K101" s="12"/>
      <c r="L101" s="12"/>
      <c r="M101" s="12"/>
      <c r="N101" s="12"/>
      <c r="O101" s="12"/>
      <c r="P101" s="12"/>
      <c r="Q101" s="12"/>
      <c r="R101" s="12"/>
      <c r="S101" s="12"/>
      <c r="T101" s="12"/>
      <c r="U101" s="12"/>
    </row>
    <row r="102" spans="1:21" ht="30" customHeight="1" x14ac:dyDescent="0.3">
      <c r="A102" s="12"/>
      <c r="B102" s="12"/>
      <c r="C102" s="12"/>
      <c r="D102" s="15"/>
      <c r="E102" s="12"/>
      <c r="F102" s="12"/>
      <c r="G102" s="12"/>
      <c r="H102" s="12"/>
      <c r="I102" s="1" t="str">
        <f>IFERROR(INDEX(Listas!$B$7:$B$46,MATCH(J102,Listas!$A$7:$A$46,0)),"")</f>
        <v/>
      </c>
      <c r="J102" s="12"/>
      <c r="K102" s="12"/>
      <c r="L102" s="12"/>
      <c r="M102" s="12"/>
      <c r="N102" s="12"/>
      <c r="O102" s="12"/>
      <c r="P102" s="12"/>
      <c r="Q102" s="12"/>
      <c r="R102" s="12"/>
      <c r="S102" s="12"/>
      <c r="T102" s="12"/>
      <c r="U102" s="12"/>
    </row>
    <row r="103" spans="1:21" ht="30" customHeight="1" x14ac:dyDescent="0.3">
      <c r="A103" s="12"/>
      <c r="B103" s="12"/>
      <c r="C103" s="12"/>
      <c r="D103" s="15"/>
      <c r="E103" s="12"/>
      <c r="F103" s="12"/>
      <c r="G103" s="12"/>
      <c r="H103" s="12"/>
      <c r="I103" s="1" t="str">
        <f>IFERROR(INDEX(Listas!$B$7:$B$46,MATCH(J103,Listas!$A$7:$A$46,0)),"")</f>
        <v/>
      </c>
      <c r="J103" s="12"/>
      <c r="K103" s="12"/>
      <c r="L103" s="12"/>
      <c r="M103" s="12"/>
      <c r="N103" s="12"/>
      <c r="O103" s="12"/>
      <c r="P103" s="12"/>
      <c r="Q103" s="12"/>
      <c r="R103" s="12"/>
      <c r="S103" s="12"/>
      <c r="T103" s="12"/>
      <c r="U103" s="12"/>
    </row>
    <row r="104" spans="1:21" ht="30" customHeight="1" x14ac:dyDescent="0.3">
      <c r="A104" s="12"/>
      <c r="B104" s="12"/>
      <c r="C104" s="12"/>
      <c r="D104" s="15"/>
      <c r="E104" s="12"/>
      <c r="F104" s="12"/>
      <c r="G104" s="12"/>
      <c r="H104" s="12"/>
      <c r="I104" s="1" t="str">
        <f>IFERROR(INDEX(Listas!$B$7:$B$46,MATCH(J104,Listas!$A$7:$A$46,0)),"")</f>
        <v/>
      </c>
      <c r="J104" s="12"/>
      <c r="K104" s="12"/>
      <c r="L104" s="12"/>
      <c r="M104" s="12"/>
      <c r="N104" s="12"/>
      <c r="O104" s="12"/>
      <c r="P104" s="12"/>
      <c r="Q104" s="12"/>
      <c r="R104" s="12"/>
      <c r="S104" s="12"/>
      <c r="T104" s="12"/>
      <c r="U104" s="12"/>
    </row>
    <row r="105" spans="1:21" ht="30" customHeight="1" x14ac:dyDescent="0.3">
      <c r="A105" s="12"/>
      <c r="B105" s="12"/>
      <c r="C105" s="12"/>
      <c r="D105" s="15"/>
      <c r="E105" s="12"/>
      <c r="F105" s="12"/>
      <c r="G105" s="12"/>
      <c r="H105" s="12"/>
      <c r="I105" s="1" t="str">
        <f>IFERROR(INDEX(Listas!$B$7:$B$46,MATCH(J105,Listas!$A$7:$A$46,0)),"")</f>
        <v/>
      </c>
      <c r="J105" s="12"/>
      <c r="K105" s="12"/>
      <c r="L105" s="12"/>
      <c r="M105" s="12"/>
      <c r="N105" s="12"/>
      <c r="O105" s="12"/>
      <c r="P105" s="12"/>
      <c r="Q105" s="12"/>
      <c r="R105" s="12"/>
      <c r="S105" s="12"/>
      <c r="T105" s="12"/>
      <c r="U105" s="12"/>
    </row>
    <row r="106" spans="1:21" ht="30" customHeight="1" x14ac:dyDescent="0.3">
      <c r="A106" s="12"/>
      <c r="B106" s="12"/>
      <c r="C106" s="12"/>
      <c r="D106" s="15"/>
      <c r="E106" s="12"/>
      <c r="F106" s="12"/>
      <c r="G106" s="12"/>
      <c r="H106" s="12"/>
      <c r="I106" s="1" t="str">
        <f>IFERROR(INDEX(Listas!$B$7:$B$46,MATCH(J106,Listas!$A$7:$A$46,0)),"")</f>
        <v/>
      </c>
      <c r="J106" s="12"/>
      <c r="K106" s="12"/>
      <c r="L106" s="12"/>
      <c r="M106" s="12"/>
      <c r="N106" s="12"/>
      <c r="O106" s="12"/>
      <c r="P106" s="12"/>
      <c r="Q106" s="12"/>
      <c r="R106" s="12"/>
      <c r="S106" s="12"/>
      <c r="T106" s="12"/>
      <c r="U106" s="12"/>
    </row>
    <row r="107" spans="1:21" ht="30" customHeight="1" x14ac:dyDescent="0.3">
      <c r="A107" s="12"/>
      <c r="B107" s="12"/>
      <c r="C107" s="12"/>
      <c r="D107" s="15"/>
      <c r="E107" s="12"/>
      <c r="F107" s="12"/>
      <c r="G107" s="12"/>
      <c r="H107" s="12"/>
      <c r="I107" s="1" t="str">
        <f>IFERROR(INDEX(Listas!$B$7:$B$46,MATCH(J107,Listas!$A$7:$A$46,0)),"")</f>
        <v/>
      </c>
      <c r="J107" s="12"/>
      <c r="K107" s="12"/>
      <c r="L107" s="12"/>
      <c r="M107" s="12"/>
      <c r="N107" s="12"/>
      <c r="O107" s="12"/>
      <c r="P107" s="12"/>
      <c r="Q107" s="12"/>
      <c r="R107" s="12"/>
      <c r="S107" s="12"/>
      <c r="T107" s="12"/>
      <c r="U107" s="12"/>
    </row>
  </sheetData>
  <autoFilter ref="A6:U107" xr:uid="{00000000-0009-0000-0000-000003000000}"/>
  <mergeCells count="8">
    <mergeCell ref="A1:U1"/>
    <mergeCell ref="N5:R5"/>
    <mergeCell ref="A3:U3"/>
    <mergeCell ref="S5:U5"/>
    <mergeCell ref="F5:H5"/>
    <mergeCell ref="A2:U2"/>
    <mergeCell ref="A5:E5"/>
    <mergeCell ref="I5:M5"/>
  </mergeCells>
  <dataValidations count="6">
    <dataValidation type="date" operator="greaterThan" allowBlank="1" errorTitle="Fecha no válida" error="Escribe una fecha válida." sqref="D7:D107" xr:uid="{00000000-0002-0000-0300-000000000000}">
      <formula1>DATE(2000,1,1)</formula1>
      <formula2>0</formula2>
    </dataValidation>
    <dataValidation type="list" allowBlank="1" errorTitle="Valor no admitido" error="Selecciona un valor de la lista desplegable." sqref="J7:J107" xr:uid="{00000000-0002-0000-0300-000001000000}">
      <formula1>LST_SUBCARACTERISTICA</formula1>
      <formula2>0</formula2>
    </dataValidation>
    <dataValidation type="list" allowBlank="1" errorTitle="Valor no admitido" error="Selecciona un valor de la lista desplegable." sqref="K7:K107" xr:uid="{00000000-0002-0000-0300-000002000000}">
      <formula1>LST_MOSCOW</formula1>
      <formula2>0</formula2>
    </dataValidation>
    <dataValidation type="list" allowBlank="1" errorTitle="Valor no admitido" error="Selecciona un valor de la lista desplegable." sqref="L7:L107" xr:uid="{00000000-0002-0000-0300-000003000000}">
      <formula1>LST_IMPORTANCIA</formula1>
      <formula2>0</formula2>
    </dataValidation>
    <dataValidation type="list" allowBlank="1" errorTitle="Valor no admitido" error="Selecciona un valor de la lista desplegable." sqref="M7:M107" xr:uid="{00000000-0002-0000-0300-000004000000}">
      <formula1>LST_ESTADO_REQ</formula1>
      <formula2>0</formula2>
    </dataValidation>
    <dataValidation type="list" allowBlank="1" errorTitle="Valor no admitido" error="Selecciona un valor de la lista desplegable." sqref="R7:R107" xr:uid="{00000000-0002-0000-0300-000005000000}">
      <formula1>LST_VERIFICACION</formula1>
      <formula2>0</formula2>
    </dataValidation>
  </dataValidations>
  <pageMargins left="0.75" right="0.75" top="1" bottom="1" header="0.511811023622047" footer="0.5"/>
  <pageSetup fitToHeight="0" orientation="landscape" horizontalDpi="300" verticalDpi="300"/>
  <headerFooter>
    <oddFooter>&amp;L&amp;"Tahoma,Regular"&amp;7 Requisitos no funcionales&amp;C&amp;"Tahoma,Regular"&amp;7 Universidad Católica de Colombia · Facultad de Ingeniería · Vigilada Mineducación&amp;R&amp;"Tahoma,Regular"&amp;7 Página &amp;P de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1485"/>
  <sheetViews>
    <sheetView showGridLines="0" workbookViewId="0">
      <selection activeCell="C8" sqref="C8:H8"/>
    </sheetView>
  </sheetViews>
  <sheetFormatPr baseColWidth="10" defaultColWidth="9.109375" defaultRowHeight="14.4" x14ac:dyDescent="0.3"/>
  <cols>
    <col min="1" max="1" width="3" customWidth="1"/>
    <col min="2" max="2" width="32" customWidth="1"/>
    <col min="3" max="3" width="13" customWidth="1"/>
    <col min="4" max="8" width="10.44140625" customWidth="1"/>
  </cols>
  <sheetData>
    <row r="1" spans="1:8" ht="18" x14ac:dyDescent="0.35">
      <c r="A1" s="25" t="s">
        <v>1090</v>
      </c>
    </row>
    <row r="2" spans="1:8" x14ac:dyDescent="0.3">
      <c r="A2" s="26" t="s">
        <v>1091</v>
      </c>
    </row>
    <row r="4" spans="1:8" ht="21.9" customHeight="1" x14ac:dyDescent="0.3">
      <c r="A4" s="45" t="s">
        <v>1092</v>
      </c>
      <c r="B4" s="30"/>
      <c r="C4" s="30"/>
      <c r="D4" s="30"/>
      <c r="E4" s="30"/>
      <c r="F4" s="30"/>
      <c r="G4" s="30"/>
      <c r="H4" s="30"/>
    </row>
    <row r="6" spans="1:8" ht="15.9" customHeight="1" x14ac:dyDescent="0.3">
      <c r="B6" s="43" t="s">
        <v>3</v>
      </c>
      <c r="C6" s="30"/>
      <c r="D6" s="30"/>
      <c r="E6" s="30"/>
      <c r="F6" s="30"/>
      <c r="G6" s="30"/>
      <c r="H6" s="30"/>
    </row>
    <row r="7" spans="1:8" ht="18" customHeight="1" x14ac:dyDescent="0.3">
      <c r="B7" s="27" t="s">
        <v>286</v>
      </c>
      <c r="C7" s="44" t="s">
        <v>305</v>
      </c>
      <c r="D7" s="30"/>
      <c r="E7" s="30"/>
      <c r="F7" s="30"/>
      <c r="G7" s="30"/>
      <c r="H7" s="30"/>
    </row>
    <row r="8" spans="1:8" ht="18" customHeight="1" x14ac:dyDescent="0.3">
      <c r="B8" s="27" t="s">
        <v>287</v>
      </c>
      <c r="C8" s="44" t="s">
        <v>1386</v>
      </c>
      <c r="D8" s="30"/>
      <c r="E8" s="30"/>
      <c r="F8" s="30"/>
      <c r="G8" s="30"/>
      <c r="H8" s="30"/>
    </row>
    <row r="9" spans="1:8" ht="18" customHeight="1" x14ac:dyDescent="0.3">
      <c r="B9" s="27" t="s">
        <v>288</v>
      </c>
      <c r="C9" s="44" t="s">
        <v>169</v>
      </c>
      <c r="D9" s="30"/>
      <c r="E9" s="30"/>
      <c r="F9" s="30"/>
      <c r="G9" s="30"/>
      <c r="H9" s="30"/>
    </row>
    <row r="10" spans="1:8" ht="18" customHeight="1" x14ac:dyDescent="0.3">
      <c r="B10" s="27" t="s">
        <v>289</v>
      </c>
      <c r="C10" s="44" t="s">
        <v>1093</v>
      </c>
      <c r="D10" s="30"/>
      <c r="E10" s="30"/>
      <c r="F10" s="30"/>
      <c r="G10" s="30"/>
      <c r="H10" s="30"/>
    </row>
    <row r="11" spans="1:8" ht="18" customHeight="1" x14ac:dyDescent="0.3">
      <c r="B11" s="27" t="s">
        <v>290</v>
      </c>
      <c r="C11" s="44" t="s">
        <v>166</v>
      </c>
      <c r="D11" s="30"/>
      <c r="E11" s="30"/>
      <c r="F11" s="30"/>
      <c r="G11" s="30"/>
      <c r="H11" s="30"/>
    </row>
    <row r="12" spans="1:8" ht="15.9" customHeight="1" x14ac:dyDescent="0.3">
      <c r="B12" s="43" t="s">
        <v>282</v>
      </c>
      <c r="C12" s="30"/>
      <c r="D12" s="30"/>
      <c r="E12" s="30"/>
      <c r="F12" s="30"/>
      <c r="G12" s="30"/>
      <c r="H12" s="30"/>
    </row>
    <row r="13" spans="1:8" ht="30.9" customHeight="1" x14ac:dyDescent="0.3">
      <c r="B13" s="27" t="s">
        <v>291</v>
      </c>
      <c r="C13" s="44" t="s">
        <v>1387</v>
      </c>
      <c r="D13" s="30"/>
      <c r="E13" s="30"/>
      <c r="F13" s="30"/>
      <c r="G13" s="30"/>
      <c r="H13" s="30"/>
    </row>
    <row r="14" spans="1:8" ht="18" customHeight="1" x14ac:dyDescent="0.3">
      <c r="B14" s="27" t="s">
        <v>292</v>
      </c>
      <c r="C14" s="44" t="s">
        <v>306</v>
      </c>
      <c r="D14" s="30"/>
      <c r="E14" s="30"/>
      <c r="F14" s="30"/>
      <c r="G14" s="30"/>
      <c r="H14" s="30"/>
    </row>
    <row r="15" spans="1:8" ht="30.9" customHeight="1" x14ac:dyDescent="0.3">
      <c r="B15" s="27" t="s">
        <v>293</v>
      </c>
      <c r="C15" s="46" t="s">
        <v>307</v>
      </c>
      <c r="D15" s="47"/>
      <c r="E15" s="47"/>
      <c r="F15" s="47"/>
      <c r="G15" s="47"/>
      <c r="H15" s="47"/>
    </row>
    <row r="16" spans="1:8" ht="15.9" customHeight="1" x14ac:dyDescent="0.3">
      <c r="B16" s="43" t="s">
        <v>283</v>
      </c>
      <c r="C16" s="30"/>
      <c r="D16" s="30"/>
      <c r="E16" s="30"/>
      <c r="F16" s="30"/>
      <c r="G16" s="30"/>
      <c r="H16" s="30"/>
    </row>
    <row r="17" spans="1:8" ht="18" customHeight="1" x14ac:dyDescent="0.3">
      <c r="B17" s="27" t="s">
        <v>294</v>
      </c>
      <c r="C17" s="44" t="s">
        <v>308</v>
      </c>
      <c r="D17" s="30"/>
      <c r="E17" s="30"/>
      <c r="F17" s="30"/>
      <c r="G17" s="30"/>
      <c r="H17" s="30"/>
    </row>
    <row r="18" spans="1:8" ht="18" customHeight="1" x14ac:dyDescent="0.3">
      <c r="B18" s="27" t="s">
        <v>295</v>
      </c>
      <c r="C18" s="44" t="s">
        <v>309</v>
      </c>
      <c r="D18" s="30"/>
      <c r="E18" s="30"/>
      <c r="F18" s="30"/>
      <c r="G18" s="30"/>
      <c r="H18" s="30"/>
    </row>
    <row r="19" spans="1:8" ht="18" customHeight="1" x14ac:dyDescent="0.3">
      <c r="B19" s="27" t="s">
        <v>296</v>
      </c>
      <c r="C19" s="44" t="s">
        <v>310</v>
      </c>
      <c r="D19" s="30"/>
      <c r="E19" s="30"/>
      <c r="F19" s="30"/>
      <c r="G19" s="30"/>
      <c r="H19" s="30"/>
    </row>
    <row r="20" spans="1:8" ht="15.9" customHeight="1" x14ac:dyDescent="0.3">
      <c r="B20" s="43" t="s">
        <v>284</v>
      </c>
      <c r="C20" s="30"/>
      <c r="D20" s="30"/>
      <c r="E20" s="30"/>
      <c r="F20" s="30"/>
      <c r="G20" s="30"/>
      <c r="H20" s="30"/>
    </row>
    <row r="21" spans="1:8" ht="18" customHeight="1" x14ac:dyDescent="0.3">
      <c r="B21" s="27" t="s">
        <v>297</v>
      </c>
      <c r="C21" s="44" t="s">
        <v>311</v>
      </c>
      <c r="D21" s="30"/>
      <c r="E21" s="30"/>
      <c r="F21" s="30"/>
      <c r="G21" s="30"/>
      <c r="H21" s="30"/>
    </row>
    <row r="22" spans="1:8" ht="18" customHeight="1" x14ac:dyDescent="0.3">
      <c r="B22" s="27" t="s">
        <v>298</v>
      </c>
      <c r="C22" s="44" t="s">
        <v>312</v>
      </c>
      <c r="D22" s="30"/>
      <c r="E22" s="30"/>
      <c r="F22" s="30"/>
      <c r="G22" s="30"/>
      <c r="H22" s="30"/>
    </row>
    <row r="23" spans="1:8" ht="42.9" customHeight="1" x14ac:dyDescent="0.3">
      <c r="B23" s="27" t="s">
        <v>299</v>
      </c>
      <c r="C23" s="44" t="s">
        <v>1388</v>
      </c>
      <c r="D23" s="30"/>
      <c r="E23" s="30"/>
      <c r="F23" s="30"/>
      <c r="G23" s="30"/>
      <c r="H23" s="30"/>
    </row>
    <row r="24" spans="1:8" ht="34.799999999999997" customHeight="1" x14ac:dyDescent="0.3">
      <c r="B24" s="27" t="s">
        <v>300</v>
      </c>
      <c r="C24" s="44" t="s">
        <v>1389</v>
      </c>
      <c r="D24" s="30"/>
      <c r="E24" s="30"/>
      <c r="F24" s="30"/>
      <c r="G24" s="30"/>
      <c r="H24" s="30"/>
    </row>
    <row r="25" spans="1:8" ht="30.9" customHeight="1" x14ac:dyDescent="0.3">
      <c r="B25" s="27" t="s">
        <v>301</v>
      </c>
      <c r="C25" s="44" t="s">
        <v>1390</v>
      </c>
      <c r="D25" s="30"/>
      <c r="E25" s="30"/>
      <c r="F25" s="30"/>
      <c r="G25" s="30"/>
      <c r="H25" s="30"/>
    </row>
    <row r="26" spans="1:8" ht="15.9" customHeight="1" x14ac:dyDescent="0.3">
      <c r="B26" s="43" t="s">
        <v>285</v>
      </c>
      <c r="C26" s="30"/>
      <c r="D26" s="30"/>
      <c r="E26" s="30"/>
      <c r="F26" s="30"/>
      <c r="G26" s="30"/>
      <c r="H26" s="30"/>
    </row>
    <row r="27" spans="1:8" ht="18" customHeight="1" x14ac:dyDescent="0.3">
      <c r="B27" s="27" t="s">
        <v>302</v>
      </c>
      <c r="C27" s="44" t="s">
        <v>313</v>
      </c>
      <c r="D27" s="30"/>
      <c r="E27" s="30"/>
      <c r="F27" s="30"/>
      <c r="G27" s="30"/>
      <c r="H27" s="30"/>
    </row>
    <row r="28" spans="1:8" ht="18" customHeight="1" x14ac:dyDescent="0.3">
      <c r="B28" s="27" t="s">
        <v>303</v>
      </c>
      <c r="C28" s="44" t="s">
        <v>314</v>
      </c>
      <c r="D28" s="30"/>
      <c r="E28" s="30"/>
      <c r="F28" s="30"/>
      <c r="G28" s="30"/>
      <c r="H28" s="30"/>
    </row>
    <row r="29" spans="1:8" ht="18" customHeight="1" x14ac:dyDescent="0.3">
      <c r="B29" s="27" t="s">
        <v>304</v>
      </c>
      <c r="C29" s="44" t="s">
        <v>1391</v>
      </c>
      <c r="D29" s="30"/>
      <c r="E29" s="30"/>
      <c r="F29" s="30"/>
      <c r="G29" s="30"/>
      <c r="H29" s="30"/>
    </row>
    <row r="32" spans="1:8" ht="21.9" customHeight="1" x14ac:dyDescent="0.3">
      <c r="A32" s="45" t="s">
        <v>1094</v>
      </c>
      <c r="B32" s="30"/>
      <c r="C32" s="30"/>
      <c r="D32" s="30"/>
      <c r="E32" s="30"/>
      <c r="F32" s="30"/>
      <c r="G32" s="30"/>
      <c r="H32" s="30"/>
    </row>
    <row r="34" spans="2:8" ht="15.9" customHeight="1" x14ac:dyDescent="0.3">
      <c r="B34" s="43" t="s">
        <v>3</v>
      </c>
      <c r="C34" s="30"/>
      <c r="D34" s="30"/>
      <c r="E34" s="30"/>
      <c r="F34" s="30"/>
      <c r="G34" s="30"/>
      <c r="H34" s="30"/>
    </row>
    <row r="35" spans="2:8" ht="18" customHeight="1" x14ac:dyDescent="0.3">
      <c r="B35" s="27" t="s">
        <v>286</v>
      </c>
      <c r="C35" s="44" t="s">
        <v>314</v>
      </c>
      <c r="D35" s="30"/>
      <c r="E35" s="30"/>
      <c r="F35" s="30"/>
      <c r="G35" s="30"/>
      <c r="H35" s="30"/>
    </row>
    <row r="36" spans="2:8" ht="18" customHeight="1" x14ac:dyDescent="0.3">
      <c r="B36" s="27" t="s">
        <v>287</v>
      </c>
      <c r="C36" s="44" t="s">
        <v>315</v>
      </c>
      <c r="D36" s="30"/>
      <c r="E36" s="30"/>
      <c r="F36" s="30"/>
      <c r="G36" s="30"/>
      <c r="H36" s="30"/>
    </row>
    <row r="37" spans="2:8" ht="18" customHeight="1" x14ac:dyDescent="0.3">
      <c r="B37" s="27" t="s">
        <v>288</v>
      </c>
      <c r="C37" s="44" t="s">
        <v>169</v>
      </c>
      <c r="D37" s="30"/>
      <c r="E37" s="30"/>
      <c r="F37" s="30"/>
      <c r="G37" s="30"/>
      <c r="H37" s="30"/>
    </row>
    <row r="38" spans="2:8" ht="18" customHeight="1" x14ac:dyDescent="0.3">
      <c r="B38" s="27" t="s">
        <v>289</v>
      </c>
      <c r="C38" s="44" t="s">
        <v>1093</v>
      </c>
      <c r="D38" s="30"/>
      <c r="E38" s="30"/>
      <c r="F38" s="30"/>
      <c r="G38" s="30"/>
      <c r="H38" s="30"/>
    </row>
    <row r="39" spans="2:8" ht="18" customHeight="1" x14ac:dyDescent="0.3">
      <c r="B39" s="27" t="s">
        <v>290</v>
      </c>
      <c r="C39" s="44" t="s">
        <v>166</v>
      </c>
      <c r="D39" s="30"/>
      <c r="E39" s="30"/>
      <c r="F39" s="30"/>
      <c r="G39" s="30"/>
      <c r="H39" s="30"/>
    </row>
    <row r="40" spans="2:8" ht="15.9" customHeight="1" x14ac:dyDescent="0.3">
      <c r="B40" s="43" t="s">
        <v>282</v>
      </c>
      <c r="C40" s="30"/>
      <c r="D40" s="30"/>
      <c r="E40" s="30"/>
      <c r="F40" s="30"/>
      <c r="G40" s="30"/>
      <c r="H40" s="30"/>
    </row>
    <row r="41" spans="2:8" ht="18" customHeight="1" x14ac:dyDescent="0.3">
      <c r="B41" s="27" t="s">
        <v>291</v>
      </c>
      <c r="C41" s="44" t="s">
        <v>1392</v>
      </c>
      <c r="D41" s="30"/>
      <c r="E41" s="30"/>
      <c r="F41" s="30"/>
      <c r="G41" s="30"/>
      <c r="H41" s="30"/>
    </row>
    <row r="42" spans="2:8" ht="18" customHeight="1" x14ac:dyDescent="0.3">
      <c r="B42" s="27" t="s">
        <v>292</v>
      </c>
      <c r="C42" s="44" t="s">
        <v>306</v>
      </c>
      <c r="D42" s="30"/>
      <c r="E42" s="30"/>
      <c r="F42" s="30"/>
      <c r="G42" s="30"/>
      <c r="H42" s="30"/>
    </row>
    <row r="43" spans="2:8" ht="30.9" customHeight="1" x14ac:dyDescent="0.3">
      <c r="B43" s="27" t="s">
        <v>293</v>
      </c>
      <c r="C43" s="44" t="s">
        <v>316</v>
      </c>
      <c r="D43" s="30"/>
      <c r="E43" s="30"/>
      <c r="F43" s="30"/>
      <c r="G43" s="30"/>
      <c r="H43" s="30"/>
    </row>
    <row r="44" spans="2:8" ht="15.9" customHeight="1" x14ac:dyDescent="0.3">
      <c r="B44" s="43" t="s">
        <v>283</v>
      </c>
      <c r="C44" s="30"/>
      <c r="D44" s="30"/>
      <c r="E44" s="30"/>
      <c r="F44" s="30"/>
      <c r="G44" s="30"/>
      <c r="H44" s="30"/>
    </row>
    <row r="45" spans="2:8" ht="18" customHeight="1" x14ac:dyDescent="0.3">
      <c r="B45" s="27" t="s">
        <v>294</v>
      </c>
      <c r="C45" s="44" t="s">
        <v>308</v>
      </c>
      <c r="D45" s="30"/>
      <c r="E45" s="30"/>
      <c r="F45" s="30"/>
      <c r="G45" s="30"/>
      <c r="H45" s="30"/>
    </row>
    <row r="46" spans="2:8" ht="18" customHeight="1" x14ac:dyDescent="0.3">
      <c r="B46" s="27" t="s">
        <v>295</v>
      </c>
      <c r="C46" s="44" t="s">
        <v>309</v>
      </c>
      <c r="D46" s="30"/>
      <c r="E46" s="30"/>
      <c r="F46" s="30"/>
      <c r="G46" s="30"/>
      <c r="H46" s="30"/>
    </row>
    <row r="47" spans="2:8" ht="18" customHeight="1" x14ac:dyDescent="0.3">
      <c r="B47" s="27" t="s">
        <v>296</v>
      </c>
      <c r="C47" s="44" t="s">
        <v>310</v>
      </c>
      <c r="D47" s="30"/>
      <c r="E47" s="30"/>
      <c r="F47" s="30"/>
      <c r="G47" s="30"/>
      <c r="H47" s="30"/>
    </row>
    <row r="48" spans="2:8" ht="15.9" customHeight="1" x14ac:dyDescent="0.3">
      <c r="B48" s="43" t="s">
        <v>284</v>
      </c>
      <c r="C48" s="30"/>
      <c r="D48" s="30"/>
      <c r="E48" s="30"/>
      <c r="F48" s="30"/>
      <c r="G48" s="30"/>
      <c r="H48" s="30"/>
    </row>
    <row r="49" spans="1:8" ht="18" customHeight="1" x14ac:dyDescent="0.3">
      <c r="B49" s="27" t="s">
        <v>297</v>
      </c>
      <c r="C49" s="44" t="s">
        <v>1393</v>
      </c>
      <c r="D49" s="30"/>
      <c r="E49" s="30"/>
      <c r="F49" s="30"/>
      <c r="G49" s="30"/>
      <c r="H49" s="30"/>
    </row>
    <row r="50" spans="1:8" ht="18" customHeight="1" x14ac:dyDescent="0.3">
      <c r="B50" s="27" t="s">
        <v>298</v>
      </c>
      <c r="C50" s="44" t="s">
        <v>317</v>
      </c>
      <c r="D50" s="30"/>
      <c r="E50" s="30"/>
      <c r="F50" s="30"/>
      <c r="G50" s="30"/>
      <c r="H50" s="30"/>
    </row>
    <row r="51" spans="1:8" ht="42.9" customHeight="1" x14ac:dyDescent="0.3">
      <c r="B51" s="27" t="s">
        <v>299</v>
      </c>
      <c r="C51" s="44" t="s">
        <v>1394</v>
      </c>
      <c r="D51" s="30"/>
      <c r="E51" s="30"/>
      <c r="F51" s="30"/>
      <c r="G51" s="30"/>
      <c r="H51" s="30"/>
    </row>
    <row r="52" spans="1:8" ht="18" customHeight="1" x14ac:dyDescent="0.3">
      <c r="B52" s="27" t="s">
        <v>300</v>
      </c>
      <c r="C52" s="44" t="s">
        <v>318</v>
      </c>
      <c r="D52" s="30"/>
      <c r="E52" s="30"/>
      <c r="F52" s="30"/>
      <c r="G52" s="30"/>
      <c r="H52" s="30"/>
    </row>
    <row r="53" spans="1:8" ht="44.1" customHeight="1" x14ac:dyDescent="0.3">
      <c r="B53" s="27" t="s">
        <v>301</v>
      </c>
      <c r="C53" s="44" t="s">
        <v>319</v>
      </c>
      <c r="D53" s="30"/>
      <c r="E53" s="30"/>
      <c r="F53" s="30"/>
      <c r="G53" s="30"/>
      <c r="H53" s="30"/>
    </row>
    <row r="54" spans="1:8" ht="15.9" customHeight="1" x14ac:dyDescent="0.3">
      <c r="B54" s="43" t="s">
        <v>285</v>
      </c>
      <c r="C54" s="30"/>
      <c r="D54" s="30"/>
      <c r="E54" s="30"/>
      <c r="F54" s="30"/>
      <c r="G54" s="30"/>
      <c r="H54" s="30"/>
    </row>
    <row r="55" spans="1:8" ht="18" customHeight="1" x14ac:dyDescent="0.3">
      <c r="B55" s="27" t="s">
        <v>302</v>
      </c>
      <c r="C55" s="44" t="s">
        <v>305</v>
      </c>
      <c r="D55" s="30"/>
      <c r="E55" s="30"/>
      <c r="F55" s="30"/>
      <c r="G55" s="30"/>
      <c r="H55" s="30"/>
    </row>
    <row r="56" spans="1:8" ht="18" customHeight="1" x14ac:dyDescent="0.3">
      <c r="B56" s="27" t="s">
        <v>303</v>
      </c>
      <c r="C56" s="44" t="s">
        <v>320</v>
      </c>
      <c r="D56" s="30"/>
      <c r="E56" s="30"/>
      <c r="F56" s="30"/>
      <c r="G56" s="30"/>
      <c r="H56" s="30"/>
    </row>
    <row r="57" spans="1:8" ht="18" customHeight="1" x14ac:dyDescent="0.3">
      <c r="B57" s="27" t="s">
        <v>304</v>
      </c>
      <c r="C57" s="44" t="s">
        <v>1095</v>
      </c>
      <c r="D57" s="30"/>
      <c r="E57" s="30"/>
      <c r="F57" s="30"/>
      <c r="G57" s="30"/>
      <c r="H57" s="30"/>
    </row>
    <row r="60" spans="1:8" ht="21.9" customHeight="1" x14ac:dyDescent="0.3">
      <c r="A60" s="45" t="s">
        <v>1096</v>
      </c>
      <c r="B60" s="30"/>
      <c r="C60" s="30"/>
      <c r="D60" s="30"/>
      <c r="E60" s="30"/>
      <c r="F60" s="30"/>
      <c r="G60" s="30"/>
      <c r="H60" s="30"/>
    </row>
    <row r="62" spans="1:8" ht="15.9" customHeight="1" x14ac:dyDescent="0.3">
      <c r="B62" s="43" t="s">
        <v>3</v>
      </c>
      <c r="C62" s="30"/>
      <c r="D62" s="30"/>
      <c r="E62" s="30"/>
      <c r="F62" s="30"/>
      <c r="G62" s="30"/>
      <c r="H62" s="30"/>
    </row>
    <row r="63" spans="1:8" ht="18" customHeight="1" x14ac:dyDescent="0.3">
      <c r="B63" s="27" t="s">
        <v>286</v>
      </c>
      <c r="C63" s="44" t="s">
        <v>320</v>
      </c>
      <c r="D63" s="30"/>
      <c r="E63" s="30"/>
      <c r="F63" s="30"/>
      <c r="G63" s="30"/>
      <c r="H63" s="30"/>
    </row>
    <row r="64" spans="1:8" ht="18" customHeight="1" x14ac:dyDescent="0.3">
      <c r="B64" s="27" t="s">
        <v>287</v>
      </c>
      <c r="C64" s="44" t="s">
        <v>321</v>
      </c>
      <c r="D64" s="30"/>
      <c r="E64" s="30"/>
      <c r="F64" s="30"/>
      <c r="G64" s="30"/>
      <c r="H64" s="30"/>
    </row>
    <row r="65" spans="2:8" ht="18" customHeight="1" x14ac:dyDescent="0.3">
      <c r="B65" s="27" t="s">
        <v>288</v>
      </c>
      <c r="C65" s="44" t="s">
        <v>169</v>
      </c>
      <c r="D65" s="30"/>
      <c r="E65" s="30"/>
      <c r="F65" s="30"/>
      <c r="G65" s="30"/>
      <c r="H65" s="30"/>
    </row>
    <row r="66" spans="2:8" ht="18" customHeight="1" x14ac:dyDescent="0.3">
      <c r="B66" s="27" t="s">
        <v>289</v>
      </c>
      <c r="C66" s="44" t="s">
        <v>1093</v>
      </c>
      <c r="D66" s="30"/>
      <c r="E66" s="30"/>
      <c r="F66" s="30"/>
      <c r="G66" s="30"/>
      <c r="H66" s="30"/>
    </row>
    <row r="67" spans="2:8" ht="18" customHeight="1" x14ac:dyDescent="0.3">
      <c r="B67" s="27" t="s">
        <v>290</v>
      </c>
      <c r="C67" s="44" t="s">
        <v>166</v>
      </c>
      <c r="D67" s="30"/>
      <c r="E67" s="30"/>
      <c r="F67" s="30"/>
      <c r="G67" s="30"/>
      <c r="H67" s="30"/>
    </row>
    <row r="68" spans="2:8" ht="15.9" customHeight="1" x14ac:dyDescent="0.3">
      <c r="B68" s="43" t="s">
        <v>282</v>
      </c>
      <c r="C68" s="30"/>
      <c r="D68" s="30"/>
      <c r="E68" s="30"/>
      <c r="F68" s="30"/>
      <c r="G68" s="30"/>
      <c r="H68" s="30"/>
    </row>
    <row r="69" spans="2:8" ht="30.9" customHeight="1" x14ac:dyDescent="0.3">
      <c r="B69" s="27" t="s">
        <v>291</v>
      </c>
      <c r="C69" s="44" t="s">
        <v>322</v>
      </c>
      <c r="D69" s="30"/>
      <c r="E69" s="30"/>
      <c r="F69" s="30"/>
      <c r="G69" s="30"/>
      <c r="H69" s="30"/>
    </row>
    <row r="70" spans="2:8" ht="18" customHeight="1" x14ac:dyDescent="0.3">
      <c r="B70" s="27" t="s">
        <v>292</v>
      </c>
      <c r="C70" s="44" t="s">
        <v>306</v>
      </c>
      <c r="D70" s="30"/>
      <c r="E70" s="30"/>
      <c r="F70" s="30"/>
      <c r="G70" s="30"/>
      <c r="H70" s="30"/>
    </row>
    <row r="71" spans="2:8" ht="30.9" customHeight="1" x14ac:dyDescent="0.3">
      <c r="B71" s="27" t="s">
        <v>293</v>
      </c>
      <c r="C71" s="44" t="s">
        <v>323</v>
      </c>
      <c r="D71" s="30"/>
      <c r="E71" s="30"/>
      <c r="F71" s="30"/>
      <c r="G71" s="30"/>
      <c r="H71" s="30"/>
    </row>
    <row r="72" spans="2:8" ht="15.9" customHeight="1" x14ac:dyDescent="0.3">
      <c r="B72" s="43" t="s">
        <v>283</v>
      </c>
      <c r="C72" s="30"/>
      <c r="D72" s="30"/>
      <c r="E72" s="30"/>
      <c r="F72" s="30"/>
      <c r="G72" s="30"/>
      <c r="H72" s="30"/>
    </row>
    <row r="73" spans="2:8" ht="18" customHeight="1" x14ac:dyDescent="0.3">
      <c r="B73" s="27" t="s">
        <v>294</v>
      </c>
      <c r="C73" s="44" t="s">
        <v>308</v>
      </c>
      <c r="D73" s="30"/>
      <c r="E73" s="30"/>
      <c r="F73" s="30"/>
      <c r="G73" s="30"/>
      <c r="H73" s="30"/>
    </row>
    <row r="74" spans="2:8" ht="18" customHeight="1" x14ac:dyDescent="0.3">
      <c r="B74" s="27" t="s">
        <v>295</v>
      </c>
      <c r="C74" s="44" t="s">
        <v>309</v>
      </c>
      <c r="D74" s="30"/>
      <c r="E74" s="30"/>
      <c r="F74" s="30"/>
      <c r="G74" s="30"/>
      <c r="H74" s="30"/>
    </row>
    <row r="75" spans="2:8" ht="18" customHeight="1" x14ac:dyDescent="0.3">
      <c r="B75" s="27" t="s">
        <v>296</v>
      </c>
      <c r="C75" s="44" t="s">
        <v>310</v>
      </c>
      <c r="D75" s="30"/>
      <c r="E75" s="30"/>
      <c r="F75" s="30"/>
      <c r="G75" s="30"/>
      <c r="H75" s="30"/>
    </row>
    <row r="76" spans="2:8" ht="15.9" customHeight="1" x14ac:dyDescent="0.3">
      <c r="B76" s="43" t="s">
        <v>284</v>
      </c>
      <c r="C76" s="30"/>
      <c r="D76" s="30"/>
      <c r="E76" s="30"/>
      <c r="F76" s="30"/>
      <c r="G76" s="30"/>
      <c r="H76" s="30"/>
    </row>
    <row r="77" spans="2:8" ht="18" customHeight="1" x14ac:dyDescent="0.3">
      <c r="B77" s="27" t="s">
        <v>297</v>
      </c>
      <c r="C77" s="44" t="s">
        <v>324</v>
      </c>
      <c r="D77" s="30"/>
      <c r="E77" s="30"/>
      <c r="F77" s="30"/>
      <c r="G77" s="30"/>
      <c r="H77" s="30"/>
    </row>
    <row r="78" spans="2:8" ht="18" customHeight="1" x14ac:dyDescent="0.3">
      <c r="B78" s="27" t="s">
        <v>298</v>
      </c>
      <c r="C78" s="44" t="s">
        <v>325</v>
      </c>
      <c r="D78" s="30"/>
      <c r="E78" s="30"/>
      <c r="F78" s="30"/>
      <c r="G78" s="30"/>
      <c r="H78" s="30"/>
    </row>
    <row r="79" spans="2:8" ht="42.9" customHeight="1" x14ac:dyDescent="0.3">
      <c r="B79" s="27" t="s">
        <v>299</v>
      </c>
      <c r="C79" s="44" t="s">
        <v>326</v>
      </c>
      <c r="D79" s="30"/>
      <c r="E79" s="30"/>
      <c r="F79" s="30"/>
      <c r="G79" s="30"/>
      <c r="H79" s="30"/>
    </row>
    <row r="80" spans="2:8" ht="18" customHeight="1" x14ac:dyDescent="0.3">
      <c r="B80" s="27" t="s">
        <v>300</v>
      </c>
      <c r="C80" s="44" t="s">
        <v>327</v>
      </c>
      <c r="D80" s="30"/>
      <c r="E80" s="30"/>
      <c r="F80" s="30"/>
      <c r="G80" s="30"/>
      <c r="H80" s="30"/>
    </row>
    <row r="81" spans="1:8" ht="30.9" customHeight="1" x14ac:dyDescent="0.3">
      <c r="B81" s="27" t="s">
        <v>301</v>
      </c>
      <c r="C81" s="44" t="s">
        <v>328</v>
      </c>
      <c r="D81" s="30"/>
      <c r="E81" s="30"/>
      <c r="F81" s="30"/>
      <c r="G81" s="30"/>
      <c r="H81" s="30"/>
    </row>
    <row r="82" spans="1:8" ht="15.9" customHeight="1" x14ac:dyDescent="0.3">
      <c r="B82" s="43" t="s">
        <v>285</v>
      </c>
      <c r="C82" s="30"/>
      <c r="D82" s="30"/>
      <c r="E82" s="30"/>
      <c r="F82" s="30"/>
      <c r="G82" s="30"/>
      <c r="H82" s="30"/>
    </row>
    <row r="83" spans="1:8" ht="18" customHeight="1" x14ac:dyDescent="0.3">
      <c r="B83" s="27" t="s">
        <v>302</v>
      </c>
      <c r="C83" s="44" t="s">
        <v>314</v>
      </c>
      <c r="D83" s="30"/>
      <c r="E83" s="30"/>
      <c r="F83" s="30"/>
      <c r="G83" s="30"/>
      <c r="H83" s="30"/>
    </row>
    <row r="84" spans="1:8" ht="18" customHeight="1" x14ac:dyDescent="0.3">
      <c r="B84" s="27" t="s">
        <v>303</v>
      </c>
      <c r="C84" s="44" t="s">
        <v>329</v>
      </c>
      <c r="D84" s="30"/>
      <c r="E84" s="30"/>
      <c r="F84" s="30"/>
      <c r="G84" s="30"/>
      <c r="H84" s="30"/>
    </row>
    <row r="85" spans="1:8" ht="30.9" customHeight="1" x14ac:dyDescent="0.3">
      <c r="B85" s="27" t="s">
        <v>304</v>
      </c>
      <c r="C85" s="44" t="s">
        <v>330</v>
      </c>
      <c r="D85" s="30"/>
      <c r="E85" s="30"/>
      <c r="F85" s="30"/>
      <c r="G85" s="30"/>
      <c r="H85" s="30"/>
    </row>
    <row r="88" spans="1:8" ht="21.9" customHeight="1" x14ac:dyDescent="0.3">
      <c r="A88" s="45" t="s">
        <v>1097</v>
      </c>
      <c r="B88" s="30"/>
      <c r="C88" s="30"/>
      <c r="D88" s="30"/>
      <c r="E88" s="30"/>
      <c r="F88" s="30"/>
      <c r="G88" s="30"/>
      <c r="H88" s="30"/>
    </row>
    <row r="90" spans="1:8" ht="15.9" customHeight="1" x14ac:dyDescent="0.3">
      <c r="B90" s="43" t="s">
        <v>3</v>
      </c>
      <c r="C90" s="30"/>
      <c r="D90" s="30"/>
      <c r="E90" s="30"/>
      <c r="F90" s="30"/>
      <c r="G90" s="30"/>
      <c r="H90" s="30"/>
    </row>
    <row r="91" spans="1:8" ht="18" customHeight="1" x14ac:dyDescent="0.3">
      <c r="B91" s="27" t="s">
        <v>286</v>
      </c>
      <c r="C91" s="44" t="s">
        <v>329</v>
      </c>
      <c r="D91" s="30"/>
      <c r="E91" s="30"/>
      <c r="F91" s="30"/>
      <c r="G91" s="30"/>
      <c r="H91" s="30"/>
    </row>
    <row r="92" spans="1:8" ht="18" customHeight="1" x14ac:dyDescent="0.3">
      <c r="B92" s="27" t="s">
        <v>287</v>
      </c>
      <c r="C92" s="44" t="s">
        <v>331</v>
      </c>
      <c r="D92" s="30"/>
      <c r="E92" s="30"/>
      <c r="F92" s="30"/>
      <c r="G92" s="30"/>
      <c r="H92" s="30"/>
    </row>
    <row r="93" spans="1:8" ht="18" customHeight="1" x14ac:dyDescent="0.3">
      <c r="B93" s="27" t="s">
        <v>288</v>
      </c>
      <c r="C93" s="44" t="s">
        <v>169</v>
      </c>
      <c r="D93" s="30"/>
      <c r="E93" s="30"/>
      <c r="F93" s="30"/>
      <c r="G93" s="30"/>
      <c r="H93" s="30"/>
    </row>
    <row r="94" spans="1:8" ht="18" customHeight="1" x14ac:dyDescent="0.3">
      <c r="B94" s="27" t="s">
        <v>289</v>
      </c>
      <c r="C94" s="44" t="s">
        <v>1093</v>
      </c>
      <c r="D94" s="30"/>
      <c r="E94" s="30"/>
      <c r="F94" s="30"/>
      <c r="G94" s="30"/>
      <c r="H94" s="30"/>
    </row>
    <row r="95" spans="1:8" ht="18" customHeight="1" x14ac:dyDescent="0.3">
      <c r="B95" s="27" t="s">
        <v>290</v>
      </c>
      <c r="C95" s="44" t="s">
        <v>166</v>
      </c>
      <c r="D95" s="30"/>
      <c r="E95" s="30"/>
      <c r="F95" s="30"/>
      <c r="G95" s="30"/>
      <c r="H95" s="30"/>
    </row>
    <row r="96" spans="1:8" ht="15.9" customHeight="1" x14ac:dyDescent="0.3">
      <c r="B96" s="43" t="s">
        <v>282</v>
      </c>
      <c r="C96" s="30"/>
      <c r="D96" s="30"/>
      <c r="E96" s="30"/>
      <c r="F96" s="30"/>
      <c r="G96" s="30"/>
      <c r="H96" s="30"/>
    </row>
    <row r="97" spans="2:8" ht="18" customHeight="1" x14ac:dyDescent="0.3">
      <c r="B97" s="27" t="s">
        <v>291</v>
      </c>
      <c r="C97" s="44" t="s">
        <v>332</v>
      </c>
      <c r="D97" s="30"/>
      <c r="E97" s="30"/>
      <c r="F97" s="30"/>
      <c r="G97" s="30"/>
      <c r="H97" s="30"/>
    </row>
    <row r="98" spans="2:8" ht="18" customHeight="1" x14ac:dyDescent="0.3">
      <c r="B98" s="27" t="s">
        <v>292</v>
      </c>
      <c r="C98" s="44" t="s">
        <v>306</v>
      </c>
      <c r="D98" s="30"/>
      <c r="E98" s="30"/>
      <c r="F98" s="30"/>
      <c r="G98" s="30"/>
      <c r="H98" s="30"/>
    </row>
    <row r="99" spans="2:8" ht="18" customHeight="1" x14ac:dyDescent="0.3">
      <c r="B99" s="27" t="s">
        <v>293</v>
      </c>
      <c r="C99" s="44" t="s">
        <v>333</v>
      </c>
      <c r="D99" s="30"/>
      <c r="E99" s="30"/>
      <c r="F99" s="30"/>
      <c r="G99" s="30"/>
      <c r="H99" s="30"/>
    </row>
    <row r="100" spans="2:8" ht="15.9" customHeight="1" x14ac:dyDescent="0.3">
      <c r="B100" s="43" t="s">
        <v>283</v>
      </c>
      <c r="C100" s="30"/>
      <c r="D100" s="30"/>
      <c r="E100" s="30"/>
      <c r="F100" s="30"/>
      <c r="G100" s="30"/>
      <c r="H100" s="30"/>
    </row>
    <row r="101" spans="2:8" ht="18" customHeight="1" x14ac:dyDescent="0.3">
      <c r="B101" s="27" t="s">
        <v>294</v>
      </c>
      <c r="C101" s="44" t="s">
        <v>308</v>
      </c>
      <c r="D101" s="30"/>
      <c r="E101" s="30"/>
      <c r="F101" s="30"/>
      <c r="G101" s="30"/>
      <c r="H101" s="30"/>
    </row>
    <row r="102" spans="2:8" ht="18" customHeight="1" x14ac:dyDescent="0.3">
      <c r="B102" s="27" t="s">
        <v>295</v>
      </c>
      <c r="C102" s="44" t="s">
        <v>309</v>
      </c>
      <c r="D102" s="30"/>
      <c r="E102" s="30"/>
      <c r="F102" s="30"/>
      <c r="G102" s="30"/>
      <c r="H102" s="30"/>
    </row>
    <row r="103" spans="2:8" ht="18" customHeight="1" x14ac:dyDescent="0.3">
      <c r="B103" s="27" t="s">
        <v>296</v>
      </c>
      <c r="C103" s="44" t="s">
        <v>310</v>
      </c>
      <c r="D103" s="30"/>
      <c r="E103" s="30"/>
      <c r="F103" s="30"/>
      <c r="G103" s="30"/>
      <c r="H103" s="30"/>
    </row>
    <row r="104" spans="2:8" ht="15.9" customHeight="1" x14ac:dyDescent="0.3">
      <c r="B104" s="43" t="s">
        <v>284</v>
      </c>
      <c r="C104" s="30"/>
      <c r="D104" s="30"/>
      <c r="E104" s="30"/>
      <c r="F104" s="30"/>
      <c r="G104" s="30"/>
      <c r="H104" s="30"/>
    </row>
    <row r="105" spans="2:8" ht="18" customHeight="1" x14ac:dyDescent="0.3">
      <c r="B105" s="27" t="s">
        <v>297</v>
      </c>
      <c r="C105" s="44" t="s">
        <v>334</v>
      </c>
      <c r="D105" s="30"/>
      <c r="E105" s="30"/>
      <c r="F105" s="30"/>
      <c r="G105" s="30"/>
      <c r="H105" s="30"/>
    </row>
    <row r="106" spans="2:8" ht="18" customHeight="1" x14ac:dyDescent="0.3">
      <c r="B106" s="27" t="s">
        <v>298</v>
      </c>
      <c r="C106" s="44" t="s">
        <v>335</v>
      </c>
      <c r="D106" s="30"/>
      <c r="E106" s="30"/>
      <c r="F106" s="30"/>
      <c r="G106" s="30"/>
      <c r="H106" s="30"/>
    </row>
    <row r="107" spans="2:8" ht="42.9" customHeight="1" x14ac:dyDescent="0.3">
      <c r="B107" s="27" t="s">
        <v>299</v>
      </c>
      <c r="C107" s="44" t="s">
        <v>336</v>
      </c>
      <c r="D107" s="30"/>
      <c r="E107" s="30"/>
      <c r="F107" s="30"/>
      <c r="G107" s="30"/>
      <c r="H107" s="30"/>
    </row>
    <row r="108" spans="2:8" ht="30.9" customHeight="1" x14ac:dyDescent="0.3">
      <c r="B108" s="27" t="s">
        <v>300</v>
      </c>
      <c r="C108" s="44" t="s">
        <v>337</v>
      </c>
      <c r="D108" s="30"/>
      <c r="E108" s="30"/>
      <c r="F108" s="30"/>
      <c r="G108" s="30"/>
      <c r="H108" s="30"/>
    </row>
    <row r="109" spans="2:8" ht="44.1" customHeight="1" x14ac:dyDescent="0.3">
      <c r="B109" s="27" t="s">
        <v>301</v>
      </c>
      <c r="C109" s="44" t="s">
        <v>338</v>
      </c>
      <c r="D109" s="30"/>
      <c r="E109" s="30"/>
      <c r="F109" s="30"/>
      <c r="G109" s="30"/>
      <c r="H109" s="30"/>
    </row>
    <row r="110" spans="2:8" ht="15.9" customHeight="1" x14ac:dyDescent="0.3">
      <c r="B110" s="43" t="s">
        <v>285</v>
      </c>
      <c r="C110" s="30"/>
      <c r="D110" s="30"/>
      <c r="E110" s="30"/>
      <c r="F110" s="30"/>
      <c r="G110" s="30"/>
      <c r="H110" s="30"/>
    </row>
    <row r="111" spans="2:8" ht="18" customHeight="1" x14ac:dyDescent="0.3">
      <c r="B111" s="27" t="s">
        <v>302</v>
      </c>
      <c r="C111" s="44" t="s">
        <v>320</v>
      </c>
      <c r="D111" s="30"/>
      <c r="E111" s="30"/>
      <c r="F111" s="30"/>
      <c r="G111" s="30"/>
      <c r="H111" s="30"/>
    </row>
    <row r="112" spans="2:8" ht="18" customHeight="1" x14ac:dyDescent="0.3">
      <c r="B112" s="27" t="s">
        <v>303</v>
      </c>
      <c r="C112" s="44" t="s">
        <v>339</v>
      </c>
      <c r="D112" s="30"/>
      <c r="E112" s="30"/>
      <c r="F112" s="30"/>
      <c r="G112" s="30"/>
      <c r="H112" s="30"/>
    </row>
    <row r="113" spans="1:8" ht="18" customHeight="1" x14ac:dyDescent="0.3">
      <c r="B113" s="27" t="s">
        <v>304</v>
      </c>
      <c r="C113" s="44" t="s">
        <v>1095</v>
      </c>
      <c r="D113" s="30"/>
      <c r="E113" s="30"/>
      <c r="F113" s="30"/>
      <c r="G113" s="30"/>
      <c r="H113" s="30"/>
    </row>
    <row r="116" spans="1:8" ht="21.9" customHeight="1" x14ac:dyDescent="0.3">
      <c r="A116" s="45" t="s">
        <v>1098</v>
      </c>
      <c r="B116" s="30"/>
      <c r="C116" s="30"/>
      <c r="D116" s="30"/>
      <c r="E116" s="30"/>
      <c r="F116" s="30"/>
      <c r="G116" s="30"/>
      <c r="H116" s="30"/>
    </row>
    <row r="118" spans="1:8" ht="15.9" customHeight="1" x14ac:dyDescent="0.3">
      <c r="B118" s="43" t="s">
        <v>3</v>
      </c>
      <c r="C118" s="30"/>
      <c r="D118" s="30"/>
      <c r="E118" s="30"/>
      <c r="F118" s="30"/>
      <c r="G118" s="30"/>
      <c r="H118" s="30"/>
    </row>
    <row r="119" spans="1:8" ht="18" customHeight="1" x14ac:dyDescent="0.3">
      <c r="B119" s="27" t="s">
        <v>286</v>
      </c>
      <c r="C119" s="44" t="s">
        <v>339</v>
      </c>
      <c r="D119" s="30"/>
      <c r="E119" s="30"/>
      <c r="F119" s="30"/>
      <c r="G119" s="30"/>
      <c r="H119" s="30"/>
    </row>
    <row r="120" spans="1:8" ht="18" customHeight="1" x14ac:dyDescent="0.3">
      <c r="B120" s="27" t="s">
        <v>287</v>
      </c>
      <c r="C120" s="44" t="s">
        <v>1395</v>
      </c>
      <c r="D120" s="30"/>
      <c r="E120" s="30"/>
      <c r="F120" s="30"/>
      <c r="G120" s="30"/>
      <c r="H120" s="30"/>
    </row>
    <row r="121" spans="1:8" ht="18" customHeight="1" x14ac:dyDescent="0.3">
      <c r="B121" s="27" t="s">
        <v>288</v>
      </c>
      <c r="C121" s="44" t="s">
        <v>169</v>
      </c>
      <c r="D121" s="30"/>
      <c r="E121" s="30"/>
      <c r="F121" s="30"/>
      <c r="G121" s="30"/>
      <c r="H121" s="30"/>
    </row>
    <row r="122" spans="1:8" ht="18" customHeight="1" x14ac:dyDescent="0.3">
      <c r="B122" s="27" t="s">
        <v>289</v>
      </c>
      <c r="C122" s="44" t="s">
        <v>1093</v>
      </c>
      <c r="D122" s="30"/>
      <c r="E122" s="30"/>
      <c r="F122" s="30"/>
      <c r="G122" s="30"/>
      <c r="H122" s="30"/>
    </row>
    <row r="123" spans="1:8" ht="18" customHeight="1" x14ac:dyDescent="0.3">
      <c r="B123" s="27" t="s">
        <v>290</v>
      </c>
      <c r="C123" s="44" t="s">
        <v>166</v>
      </c>
      <c r="D123" s="30"/>
      <c r="E123" s="30"/>
      <c r="F123" s="30"/>
      <c r="G123" s="30"/>
      <c r="H123" s="30"/>
    </row>
    <row r="124" spans="1:8" ht="15.9" customHeight="1" x14ac:dyDescent="0.3">
      <c r="B124" s="43" t="s">
        <v>282</v>
      </c>
      <c r="C124" s="30"/>
      <c r="D124" s="30"/>
      <c r="E124" s="30"/>
      <c r="F124" s="30"/>
      <c r="G124" s="30"/>
      <c r="H124" s="30"/>
    </row>
    <row r="125" spans="1:8" ht="44.4" customHeight="1" x14ac:dyDescent="0.3">
      <c r="B125" s="27" t="s">
        <v>291</v>
      </c>
      <c r="C125" s="44" t="s">
        <v>1396</v>
      </c>
      <c r="D125" s="48"/>
      <c r="E125" s="48"/>
      <c r="F125" s="48"/>
      <c r="G125" s="48"/>
      <c r="H125" s="48"/>
    </row>
    <row r="126" spans="1:8" ht="18" customHeight="1" x14ac:dyDescent="0.3">
      <c r="B126" s="27" t="s">
        <v>292</v>
      </c>
      <c r="C126" s="44" t="s">
        <v>306</v>
      </c>
      <c r="D126" s="30"/>
      <c r="E126" s="30"/>
      <c r="F126" s="30"/>
      <c r="G126" s="30"/>
      <c r="H126" s="30"/>
    </row>
    <row r="127" spans="1:8" ht="30.9" customHeight="1" x14ac:dyDescent="0.3">
      <c r="B127" s="27" t="s">
        <v>293</v>
      </c>
      <c r="C127" s="44" t="s">
        <v>1397</v>
      </c>
      <c r="D127" s="30"/>
      <c r="E127" s="30"/>
      <c r="F127" s="30"/>
      <c r="G127" s="30"/>
      <c r="H127" s="30"/>
    </row>
    <row r="128" spans="1:8" ht="15.9" customHeight="1" x14ac:dyDescent="0.3">
      <c r="B128" s="43" t="s">
        <v>283</v>
      </c>
      <c r="C128" s="30"/>
      <c r="D128" s="30"/>
      <c r="E128" s="30"/>
      <c r="F128" s="30"/>
      <c r="G128" s="30"/>
      <c r="H128" s="30"/>
    </row>
    <row r="129" spans="1:8" ht="18" customHeight="1" x14ac:dyDescent="0.3">
      <c r="B129" s="27" t="s">
        <v>294</v>
      </c>
      <c r="C129" s="44" t="s">
        <v>308</v>
      </c>
      <c r="D129" s="30"/>
      <c r="E129" s="30"/>
      <c r="F129" s="30"/>
      <c r="G129" s="30"/>
      <c r="H129" s="30"/>
    </row>
    <row r="130" spans="1:8" ht="18" customHeight="1" x14ac:dyDescent="0.3">
      <c r="B130" s="27" t="s">
        <v>295</v>
      </c>
      <c r="C130" s="44" t="s">
        <v>309</v>
      </c>
      <c r="D130" s="30"/>
      <c r="E130" s="30"/>
      <c r="F130" s="30"/>
      <c r="G130" s="30"/>
      <c r="H130" s="30"/>
    </row>
    <row r="131" spans="1:8" ht="18" customHeight="1" x14ac:dyDescent="0.3">
      <c r="B131" s="27" t="s">
        <v>296</v>
      </c>
      <c r="C131" s="44" t="s">
        <v>310</v>
      </c>
      <c r="D131" s="30"/>
      <c r="E131" s="30"/>
      <c r="F131" s="30"/>
      <c r="G131" s="30"/>
      <c r="H131" s="30"/>
    </row>
    <row r="132" spans="1:8" ht="15.9" customHeight="1" x14ac:dyDescent="0.3">
      <c r="B132" s="43" t="s">
        <v>284</v>
      </c>
      <c r="C132" s="30"/>
      <c r="D132" s="30"/>
      <c r="E132" s="30"/>
      <c r="F132" s="30"/>
      <c r="G132" s="30"/>
      <c r="H132" s="30"/>
    </row>
    <row r="133" spans="1:8" ht="18" customHeight="1" x14ac:dyDescent="0.3">
      <c r="B133" s="27" t="s">
        <v>297</v>
      </c>
      <c r="C133" s="44" t="s">
        <v>340</v>
      </c>
      <c r="D133" s="30"/>
      <c r="E133" s="30"/>
      <c r="F133" s="30"/>
      <c r="G133" s="30"/>
      <c r="H133" s="30"/>
    </row>
    <row r="134" spans="1:8" ht="18" customHeight="1" x14ac:dyDescent="0.3">
      <c r="B134" s="27" t="s">
        <v>298</v>
      </c>
      <c r="C134" s="44" t="s">
        <v>341</v>
      </c>
      <c r="D134" s="30"/>
      <c r="E134" s="30"/>
      <c r="F134" s="30"/>
      <c r="G134" s="30"/>
      <c r="H134" s="30"/>
    </row>
    <row r="135" spans="1:8" ht="56.1" customHeight="1" x14ac:dyDescent="0.3">
      <c r="B135" s="27" t="s">
        <v>299</v>
      </c>
      <c r="C135" s="44" t="s">
        <v>1398</v>
      </c>
      <c r="D135" s="30"/>
      <c r="E135" s="30"/>
      <c r="F135" s="30"/>
      <c r="G135" s="30"/>
      <c r="H135" s="30"/>
    </row>
    <row r="136" spans="1:8" ht="30.9" customHeight="1" x14ac:dyDescent="0.3">
      <c r="B136" s="27" t="s">
        <v>300</v>
      </c>
      <c r="C136" s="44" t="s">
        <v>1399</v>
      </c>
      <c r="D136" s="30"/>
      <c r="E136" s="30"/>
      <c r="F136" s="30"/>
      <c r="G136" s="30"/>
      <c r="H136" s="30"/>
    </row>
    <row r="137" spans="1:8" ht="51" customHeight="1" x14ac:dyDescent="0.3">
      <c r="B137" s="27" t="s">
        <v>301</v>
      </c>
      <c r="C137" s="44" t="s">
        <v>1400</v>
      </c>
      <c r="D137" s="30"/>
      <c r="E137" s="30"/>
      <c r="F137" s="30"/>
      <c r="G137" s="30"/>
      <c r="H137" s="30"/>
    </row>
    <row r="138" spans="1:8" ht="15.6" customHeight="1" x14ac:dyDescent="0.3">
      <c r="B138" s="43" t="s">
        <v>285</v>
      </c>
      <c r="C138" s="30"/>
      <c r="D138" s="30"/>
      <c r="E138" s="30"/>
      <c r="F138" s="30"/>
      <c r="G138" s="30"/>
      <c r="H138" s="30"/>
    </row>
    <row r="139" spans="1:8" ht="18" customHeight="1" x14ac:dyDescent="0.3">
      <c r="B139" s="27" t="s">
        <v>302</v>
      </c>
      <c r="C139" s="44" t="s">
        <v>329</v>
      </c>
      <c r="D139" s="30"/>
      <c r="E139" s="30"/>
      <c r="F139" s="30"/>
      <c r="G139" s="30"/>
      <c r="H139" s="30"/>
    </row>
    <row r="140" spans="1:8" ht="18" customHeight="1" x14ac:dyDescent="0.3">
      <c r="B140" s="27" t="s">
        <v>303</v>
      </c>
      <c r="C140" s="44" t="s">
        <v>342</v>
      </c>
      <c r="D140" s="30"/>
      <c r="E140" s="30"/>
      <c r="F140" s="30"/>
      <c r="G140" s="30"/>
      <c r="H140" s="30"/>
    </row>
    <row r="141" spans="1:8" ht="18" customHeight="1" x14ac:dyDescent="0.3">
      <c r="B141" s="27" t="s">
        <v>304</v>
      </c>
      <c r="C141" s="44" t="s">
        <v>1095</v>
      </c>
      <c r="D141" s="30"/>
      <c r="E141" s="30"/>
      <c r="F141" s="30"/>
      <c r="G141" s="30"/>
      <c r="H141" s="30"/>
    </row>
    <row r="144" spans="1:8" ht="21.9" customHeight="1" x14ac:dyDescent="0.3">
      <c r="A144" s="45" t="s">
        <v>1099</v>
      </c>
      <c r="B144" s="30"/>
      <c r="C144" s="30"/>
      <c r="D144" s="30"/>
      <c r="E144" s="30"/>
      <c r="F144" s="30"/>
      <c r="G144" s="30"/>
      <c r="H144" s="30"/>
    </row>
    <row r="146" spans="2:8" ht="15.9" customHeight="1" x14ac:dyDescent="0.3">
      <c r="B146" s="43" t="s">
        <v>3</v>
      </c>
      <c r="C146" s="30"/>
      <c r="D146" s="30"/>
      <c r="E146" s="30"/>
      <c r="F146" s="30"/>
      <c r="G146" s="30"/>
      <c r="H146" s="30"/>
    </row>
    <row r="147" spans="2:8" ht="18" customHeight="1" x14ac:dyDescent="0.3">
      <c r="B147" s="27" t="s">
        <v>286</v>
      </c>
      <c r="C147" s="44" t="s">
        <v>342</v>
      </c>
      <c r="D147" s="30"/>
      <c r="E147" s="30"/>
      <c r="F147" s="30"/>
      <c r="G147" s="30"/>
      <c r="H147" s="30"/>
    </row>
    <row r="148" spans="2:8" ht="18" customHeight="1" x14ac:dyDescent="0.3">
      <c r="B148" s="27" t="s">
        <v>287</v>
      </c>
      <c r="C148" s="44" t="s">
        <v>343</v>
      </c>
      <c r="D148" s="30"/>
      <c r="E148" s="30"/>
      <c r="F148" s="30"/>
      <c r="G148" s="30"/>
      <c r="H148" s="30"/>
    </row>
    <row r="149" spans="2:8" ht="18" customHeight="1" x14ac:dyDescent="0.3">
      <c r="B149" s="27" t="s">
        <v>288</v>
      </c>
      <c r="C149" s="44" t="s">
        <v>169</v>
      </c>
      <c r="D149" s="30"/>
      <c r="E149" s="30"/>
      <c r="F149" s="30"/>
      <c r="G149" s="30"/>
      <c r="H149" s="30"/>
    </row>
    <row r="150" spans="2:8" ht="18" customHeight="1" x14ac:dyDescent="0.3">
      <c r="B150" s="27" t="s">
        <v>289</v>
      </c>
      <c r="C150" s="44" t="s">
        <v>1093</v>
      </c>
      <c r="D150" s="30"/>
      <c r="E150" s="30"/>
      <c r="F150" s="30"/>
      <c r="G150" s="30"/>
      <c r="H150" s="30"/>
    </row>
    <row r="151" spans="2:8" ht="18" customHeight="1" x14ac:dyDescent="0.3">
      <c r="B151" s="27" t="s">
        <v>290</v>
      </c>
      <c r="C151" s="44" t="s">
        <v>166</v>
      </c>
      <c r="D151" s="30"/>
      <c r="E151" s="30"/>
      <c r="F151" s="30"/>
      <c r="G151" s="30"/>
      <c r="H151" s="30"/>
    </row>
    <row r="152" spans="2:8" ht="15.9" customHeight="1" x14ac:dyDescent="0.3">
      <c r="B152" s="43" t="s">
        <v>282</v>
      </c>
      <c r="C152" s="30"/>
      <c r="D152" s="30"/>
      <c r="E152" s="30"/>
      <c r="F152" s="30"/>
      <c r="G152" s="30"/>
      <c r="H152" s="30"/>
    </row>
    <row r="153" spans="2:8" ht="30.9" customHeight="1" x14ac:dyDescent="0.3">
      <c r="B153" s="27" t="s">
        <v>291</v>
      </c>
      <c r="C153" s="44" t="s">
        <v>344</v>
      </c>
      <c r="D153" s="30"/>
      <c r="E153" s="30"/>
      <c r="F153" s="30"/>
      <c r="G153" s="30"/>
      <c r="H153" s="30"/>
    </row>
    <row r="154" spans="2:8" ht="18" customHeight="1" x14ac:dyDescent="0.3">
      <c r="B154" s="27" t="s">
        <v>292</v>
      </c>
      <c r="C154" s="44" t="s">
        <v>345</v>
      </c>
      <c r="D154" s="30"/>
      <c r="E154" s="30"/>
      <c r="F154" s="30"/>
      <c r="G154" s="30"/>
      <c r="H154" s="30"/>
    </row>
    <row r="155" spans="2:8" ht="30.9" customHeight="1" x14ac:dyDescent="0.3">
      <c r="B155" s="27" t="s">
        <v>293</v>
      </c>
      <c r="C155" s="44" t="s">
        <v>346</v>
      </c>
      <c r="D155" s="30"/>
      <c r="E155" s="30"/>
      <c r="F155" s="30"/>
      <c r="G155" s="30"/>
      <c r="H155" s="30"/>
    </row>
    <row r="156" spans="2:8" ht="15.9" customHeight="1" x14ac:dyDescent="0.3">
      <c r="B156" s="43" t="s">
        <v>283</v>
      </c>
      <c r="C156" s="30"/>
      <c r="D156" s="30"/>
      <c r="E156" s="30"/>
      <c r="F156" s="30"/>
      <c r="G156" s="30"/>
      <c r="H156" s="30"/>
    </row>
    <row r="157" spans="2:8" ht="18" customHeight="1" x14ac:dyDescent="0.3">
      <c r="B157" s="27" t="s">
        <v>294</v>
      </c>
      <c r="C157" s="44" t="s">
        <v>347</v>
      </c>
      <c r="D157" s="30"/>
      <c r="E157" s="30"/>
      <c r="F157" s="30"/>
      <c r="G157" s="30"/>
      <c r="H157" s="30"/>
    </row>
    <row r="158" spans="2:8" ht="18" customHeight="1" x14ac:dyDescent="0.3">
      <c r="B158" s="27" t="s">
        <v>295</v>
      </c>
      <c r="C158" s="44" t="s">
        <v>348</v>
      </c>
      <c r="D158" s="30"/>
      <c r="E158" s="30"/>
      <c r="F158" s="30"/>
      <c r="G158" s="30"/>
      <c r="H158" s="30"/>
    </row>
    <row r="159" spans="2:8" ht="18" customHeight="1" x14ac:dyDescent="0.3">
      <c r="B159" s="27" t="s">
        <v>296</v>
      </c>
      <c r="C159" s="44" t="s">
        <v>310</v>
      </c>
      <c r="D159" s="30"/>
      <c r="E159" s="30"/>
      <c r="F159" s="30"/>
      <c r="G159" s="30"/>
      <c r="H159" s="30"/>
    </row>
    <row r="160" spans="2:8" ht="15.9" customHeight="1" x14ac:dyDescent="0.3">
      <c r="B160" s="43" t="s">
        <v>284</v>
      </c>
      <c r="C160" s="30"/>
      <c r="D160" s="30"/>
      <c r="E160" s="30"/>
      <c r="F160" s="30"/>
      <c r="G160" s="30"/>
      <c r="H160" s="30"/>
    </row>
    <row r="161" spans="1:8" ht="18" customHeight="1" x14ac:dyDescent="0.3">
      <c r="B161" s="27" t="s">
        <v>297</v>
      </c>
      <c r="C161" s="44" t="s">
        <v>349</v>
      </c>
      <c r="D161" s="30"/>
      <c r="E161" s="30"/>
      <c r="F161" s="30"/>
      <c r="G161" s="30"/>
      <c r="H161" s="30"/>
    </row>
    <row r="162" spans="1:8" ht="18" customHeight="1" x14ac:dyDescent="0.3">
      <c r="B162" s="27" t="s">
        <v>298</v>
      </c>
      <c r="C162" s="44" t="s">
        <v>350</v>
      </c>
      <c r="D162" s="30"/>
      <c r="E162" s="30"/>
      <c r="F162" s="30"/>
      <c r="G162" s="30"/>
      <c r="H162" s="30"/>
    </row>
    <row r="163" spans="1:8" ht="42.9" customHeight="1" x14ac:dyDescent="0.3">
      <c r="B163" s="27" t="s">
        <v>299</v>
      </c>
      <c r="C163" s="44" t="s">
        <v>351</v>
      </c>
      <c r="D163" s="30"/>
      <c r="E163" s="30"/>
      <c r="F163" s="30"/>
      <c r="G163" s="30"/>
      <c r="H163" s="30"/>
    </row>
    <row r="164" spans="1:8" ht="18" customHeight="1" x14ac:dyDescent="0.3">
      <c r="B164" s="27" t="s">
        <v>300</v>
      </c>
      <c r="C164" s="44" t="s">
        <v>352</v>
      </c>
      <c r="D164" s="30"/>
      <c r="E164" s="30"/>
      <c r="F164" s="30"/>
      <c r="G164" s="30"/>
      <c r="H164" s="30"/>
    </row>
    <row r="165" spans="1:8" ht="30.9" customHeight="1" x14ac:dyDescent="0.3">
      <c r="B165" s="27" t="s">
        <v>301</v>
      </c>
      <c r="C165" s="44" t="s">
        <v>353</v>
      </c>
      <c r="D165" s="30"/>
      <c r="E165" s="30"/>
      <c r="F165" s="30"/>
      <c r="G165" s="30"/>
      <c r="H165" s="30"/>
    </row>
    <row r="166" spans="1:8" ht="15.9" customHeight="1" x14ac:dyDescent="0.3">
      <c r="B166" s="43" t="s">
        <v>285</v>
      </c>
      <c r="C166" s="30"/>
      <c r="D166" s="30"/>
      <c r="E166" s="30"/>
      <c r="F166" s="30"/>
      <c r="G166" s="30"/>
      <c r="H166" s="30"/>
    </row>
    <row r="167" spans="1:8" ht="18" customHeight="1" x14ac:dyDescent="0.3">
      <c r="B167" s="27" t="s">
        <v>302</v>
      </c>
      <c r="C167" s="44" t="s">
        <v>339</v>
      </c>
      <c r="D167" s="30"/>
      <c r="E167" s="30"/>
      <c r="F167" s="30"/>
      <c r="G167" s="30"/>
      <c r="H167" s="30"/>
    </row>
    <row r="168" spans="1:8" ht="18" customHeight="1" x14ac:dyDescent="0.3">
      <c r="B168" s="27" t="s">
        <v>303</v>
      </c>
      <c r="C168" s="44" t="s">
        <v>354</v>
      </c>
      <c r="D168" s="30"/>
      <c r="E168" s="30"/>
      <c r="F168" s="30"/>
      <c r="G168" s="30"/>
      <c r="H168" s="30"/>
    </row>
    <row r="169" spans="1:8" ht="18" customHeight="1" x14ac:dyDescent="0.3">
      <c r="B169" s="27" t="s">
        <v>304</v>
      </c>
      <c r="C169" s="44" t="s">
        <v>1095</v>
      </c>
      <c r="D169" s="30"/>
      <c r="E169" s="30"/>
      <c r="F169" s="30"/>
      <c r="G169" s="30"/>
      <c r="H169" s="30"/>
    </row>
    <row r="172" spans="1:8" ht="21.9" customHeight="1" x14ac:dyDescent="0.3">
      <c r="A172" s="45" t="s">
        <v>1100</v>
      </c>
      <c r="B172" s="30"/>
      <c r="C172" s="30"/>
      <c r="D172" s="30"/>
      <c r="E172" s="30"/>
      <c r="F172" s="30"/>
      <c r="G172" s="30"/>
      <c r="H172" s="30"/>
    </row>
    <row r="174" spans="1:8" ht="15.9" customHeight="1" x14ac:dyDescent="0.3">
      <c r="B174" s="43" t="s">
        <v>3</v>
      </c>
      <c r="C174" s="30"/>
      <c r="D174" s="30"/>
      <c r="E174" s="30"/>
      <c r="F174" s="30"/>
      <c r="G174" s="30"/>
      <c r="H174" s="30"/>
    </row>
    <row r="175" spans="1:8" ht="18" customHeight="1" x14ac:dyDescent="0.3">
      <c r="B175" s="27" t="s">
        <v>286</v>
      </c>
      <c r="C175" s="44" t="s">
        <v>355</v>
      </c>
      <c r="D175" s="30"/>
      <c r="E175" s="30"/>
      <c r="F175" s="30"/>
      <c r="G175" s="30"/>
      <c r="H175" s="30"/>
    </row>
    <row r="176" spans="1:8" ht="18" customHeight="1" x14ac:dyDescent="0.3">
      <c r="B176" s="27" t="s">
        <v>287</v>
      </c>
      <c r="C176" s="44" t="s">
        <v>356</v>
      </c>
      <c r="D176" s="30"/>
      <c r="E176" s="30"/>
      <c r="F176" s="30"/>
      <c r="G176" s="30"/>
      <c r="H176" s="30"/>
    </row>
    <row r="177" spans="2:8" ht="18" customHeight="1" x14ac:dyDescent="0.3">
      <c r="B177" s="27" t="s">
        <v>288</v>
      </c>
      <c r="C177" s="44" t="s">
        <v>169</v>
      </c>
      <c r="D177" s="30"/>
      <c r="E177" s="30"/>
      <c r="F177" s="30"/>
      <c r="G177" s="30"/>
      <c r="H177" s="30"/>
    </row>
    <row r="178" spans="2:8" ht="18" customHeight="1" x14ac:dyDescent="0.3">
      <c r="B178" s="27" t="s">
        <v>289</v>
      </c>
      <c r="C178" s="44" t="s">
        <v>1093</v>
      </c>
      <c r="D178" s="30"/>
      <c r="E178" s="30"/>
      <c r="F178" s="30"/>
      <c r="G178" s="30"/>
      <c r="H178" s="30"/>
    </row>
    <row r="179" spans="2:8" ht="18" customHeight="1" x14ac:dyDescent="0.3">
      <c r="B179" s="27" t="s">
        <v>290</v>
      </c>
      <c r="C179" s="44" t="s">
        <v>166</v>
      </c>
      <c r="D179" s="30"/>
      <c r="E179" s="30"/>
      <c r="F179" s="30"/>
      <c r="G179" s="30"/>
      <c r="H179" s="30"/>
    </row>
    <row r="180" spans="2:8" ht="15.9" customHeight="1" x14ac:dyDescent="0.3">
      <c r="B180" s="43" t="s">
        <v>282</v>
      </c>
      <c r="C180" s="30"/>
      <c r="D180" s="30"/>
      <c r="E180" s="30"/>
      <c r="F180" s="30"/>
      <c r="G180" s="30"/>
      <c r="H180" s="30"/>
    </row>
    <row r="181" spans="2:8" ht="18" customHeight="1" x14ac:dyDescent="0.3">
      <c r="B181" s="27" t="s">
        <v>291</v>
      </c>
      <c r="C181" s="44" t="s">
        <v>357</v>
      </c>
      <c r="D181" s="30"/>
      <c r="E181" s="30"/>
      <c r="F181" s="30"/>
      <c r="G181" s="30"/>
      <c r="H181" s="30"/>
    </row>
    <row r="182" spans="2:8" ht="18" customHeight="1" x14ac:dyDescent="0.3">
      <c r="B182" s="27" t="s">
        <v>292</v>
      </c>
      <c r="C182" s="44" t="s">
        <v>306</v>
      </c>
      <c r="D182" s="30"/>
      <c r="E182" s="30"/>
      <c r="F182" s="30"/>
      <c r="G182" s="30"/>
      <c r="H182" s="30"/>
    </row>
    <row r="183" spans="2:8" ht="18" customHeight="1" x14ac:dyDescent="0.3">
      <c r="B183" s="27" t="s">
        <v>293</v>
      </c>
      <c r="C183" s="44" t="s">
        <v>358</v>
      </c>
      <c r="D183" s="30"/>
      <c r="E183" s="30"/>
      <c r="F183" s="30"/>
      <c r="G183" s="30"/>
      <c r="H183" s="30"/>
    </row>
    <row r="184" spans="2:8" ht="15.9" customHeight="1" x14ac:dyDescent="0.3">
      <c r="B184" s="43" t="s">
        <v>283</v>
      </c>
      <c r="C184" s="30"/>
      <c r="D184" s="30"/>
      <c r="E184" s="30"/>
      <c r="F184" s="30"/>
      <c r="G184" s="30"/>
      <c r="H184" s="30"/>
    </row>
    <row r="185" spans="2:8" ht="18" customHeight="1" x14ac:dyDescent="0.3">
      <c r="B185" s="27" t="s">
        <v>294</v>
      </c>
      <c r="C185" s="44" t="s">
        <v>308</v>
      </c>
      <c r="D185" s="30"/>
      <c r="E185" s="30"/>
      <c r="F185" s="30"/>
      <c r="G185" s="30"/>
      <c r="H185" s="30"/>
    </row>
    <row r="186" spans="2:8" ht="18" customHeight="1" x14ac:dyDescent="0.3">
      <c r="B186" s="27" t="s">
        <v>295</v>
      </c>
      <c r="C186" s="44" t="s">
        <v>309</v>
      </c>
      <c r="D186" s="30"/>
      <c r="E186" s="30"/>
      <c r="F186" s="30"/>
      <c r="G186" s="30"/>
      <c r="H186" s="30"/>
    </row>
    <row r="187" spans="2:8" ht="18" customHeight="1" x14ac:dyDescent="0.3">
      <c r="B187" s="27" t="s">
        <v>296</v>
      </c>
      <c r="C187" s="44" t="s">
        <v>310</v>
      </c>
      <c r="D187" s="30"/>
      <c r="E187" s="30"/>
      <c r="F187" s="30"/>
      <c r="G187" s="30"/>
      <c r="H187" s="30"/>
    </row>
    <row r="188" spans="2:8" ht="15.9" customHeight="1" x14ac:dyDescent="0.3">
      <c r="B188" s="43" t="s">
        <v>284</v>
      </c>
      <c r="C188" s="30"/>
      <c r="D188" s="30"/>
      <c r="E188" s="30"/>
      <c r="F188" s="30"/>
      <c r="G188" s="30"/>
      <c r="H188" s="30"/>
    </row>
    <row r="189" spans="2:8" ht="18" customHeight="1" x14ac:dyDescent="0.3">
      <c r="B189" s="27" t="s">
        <v>297</v>
      </c>
      <c r="C189" s="44" t="s">
        <v>359</v>
      </c>
      <c r="D189" s="30"/>
      <c r="E189" s="30"/>
      <c r="F189" s="30"/>
      <c r="G189" s="30"/>
      <c r="H189" s="30"/>
    </row>
    <row r="190" spans="2:8" ht="18" customHeight="1" x14ac:dyDescent="0.3">
      <c r="B190" s="27" t="s">
        <v>298</v>
      </c>
      <c r="C190" s="44" t="s">
        <v>360</v>
      </c>
      <c r="D190" s="30"/>
      <c r="E190" s="30"/>
      <c r="F190" s="30"/>
      <c r="G190" s="30"/>
      <c r="H190" s="30"/>
    </row>
    <row r="191" spans="2:8" ht="42.9" customHeight="1" x14ac:dyDescent="0.3">
      <c r="B191" s="27" t="s">
        <v>299</v>
      </c>
      <c r="C191" s="44" t="s">
        <v>361</v>
      </c>
      <c r="D191" s="30"/>
      <c r="E191" s="30"/>
      <c r="F191" s="30"/>
      <c r="G191" s="30"/>
      <c r="H191" s="30"/>
    </row>
    <row r="192" spans="2:8" ht="18" customHeight="1" x14ac:dyDescent="0.3">
      <c r="B192" s="27" t="s">
        <v>300</v>
      </c>
      <c r="C192" s="44" t="s">
        <v>362</v>
      </c>
      <c r="D192" s="30"/>
      <c r="E192" s="30"/>
      <c r="F192" s="30"/>
      <c r="G192" s="30"/>
      <c r="H192" s="30"/>
    </row>
    <row r="193" spans="1:8" ht="30.9" customHeight="1" x14ac:dyDescent="0.3">
      <c r="B193" s="27" t="s">
        <v>301</v>
      </c>
      <c r="C193" s="44" t="s">
        <v>363</v>
      </c>
      <c r="D193" s="30"/>
      <c r="E193" s="30"/>
      <c r="F193" s="30"/>
      <c r="G193" s="30"/>
      <c r="H193" s="30"/>
    </row>
    <row r="194" spans="1:8" ht="15.9" customHeight="1" x14ac:dyDescent="0.3">
      <c r="B194" s="43" t="s">
        <v>285</v>
      </c>
      <c r="C194" s="30"/>
      <c r="D194" s="30"/>
      <c r="E194" s="30"/>
      <c r="F194" s="30"/>
      <c r="G194" s="30"/>
      <c r="H194" s="30"/>
    </row>
    <row r="195" spans="1:8" ht="18" customHeight="1" x14ac:dyDescent="0.3">
      <c r="B195" s="27" t="s">
        <v>302</v>
      </c>
      <c r="C195" s="44" t="s">
        <v>313</v>
      </c>
      <c r="D195" s="30"/>
      <c r="E195" s="30"/>
      <c r="F195" s="30"/>
      <c r="G195" s="30"/>
      <c r="H195" s="30"/>
    </row>
    <row r="196" spans="1:8" ht="18" customHeight="1" x14ac:dyDescent="0.3">
      <c r="B196" s="27" t="s">
        <v>303</v>
      </c>
      <c r="C196" s="44" t="s">
        <v>354</v>
      </c>
      <c r="D196" s="30"/>
      <c r="E196" s="30"/>
      <c r="F196" s="30"/>
      <c r="G196" s="30"/>
      <c r="H196" s="30"/>
    </row>
    <row r="197" spans="1:8" ht="18" customHeight="1" x14ac:dyDescent="0.3">
      <c r="B197" s="27" t="s">
        <v>304</v>
      </c>
      <c r="C197" s="44" t="s">
        <v>1095</v>
      </c>
      <c r="D197" s="30"/>
      <c r="E197" s="30"/>
      <c r="F197" s="30"/>
      <c r="G197" s="30"/>
      <c r="H197" s="30"/>
    </row>
    <row r="200" spans="1:8" ht="21.9" customHeight="1" x14ac:dyDescent="0.3">
      <c r="A200" s="45" t="s">
        <v>1101</v>
      </c>
      <c r="B200" s="30"/>
      <c r="C200" s="30"/>
      <c r="D200" s="30"/>
      <c r="E200" s="30"/>
      <c r="F200" s="30"/>
      <c r="G200" s="30"/>
      <c r="H200" s="30"/>
    </row>
    <row r="202" spans="1:8" ht="15.9" customHeight="1" x14ac:dyDescent="0.3">
      <c r="B202" s="43" t="s">
        <v>3</v>
      </c>
      <c r="C202" s="30"/>
      <c r="D202" s="30"/>
      <c r="E202" s="30"/>
      <c r="F202" s="30"/>
      <c r="G202" s="30"/>
      <c r="H202" s="30"/>
    </row>
    <row r="203" spans="1:8" ht="18" customHeight="1" x14ac:dyDescent="0.3">
      <c r="B203" s="27" t="s">
        <v>286</v>
      </c>
      <c r="C203" s="44" t="s">
        <v>364</v>
      </c>
      <c r="D203" s="30"/>
      <c r="E203" s="30"/>
      <c r="F203" s="30"/>
      <c r="G203" s="30"/>
      <c r="H203" s="30"/>
    </row>
    <row r="204" spans="1:8" ht="18" customHeight="1" x14ac:dyDescent="0.3">
      <c r="B204" s="27" t="s">
        <v>287</v>
      </c>
      <c r="C204" s="44" t="s">
        <v>365</v>
      </c>
      <c r="D204" s="30"/>
      <c r="E204" s="30"/>
      <c r="F204" s="30"/>
      <c r="G204" s="30"/>
      <c r="H204" s="30"/>
    </row>
    <row r="205" spans="1:8" ht="18" customHeight="1" x14ac:dyDescent="0.3">
      <c r="B205" s="27" t="s">
        <v>288</v>
      </c>
      <c r="C205" s="44" t="s">
        <v>169</v>
      </c>
      <c r="D205" s="30"/>
      <c r="E205" s="30"/>
      <c r="F205" s="30"/>
      <c r="G205" s="30"/>
      <c r="H205" s="30"/>
    </row>
    <row r="206" spans="1:8" ht="18" customHeight="1" x14ac:dyDescent="0.3">
      <c r="B206" s="27" t="s">
        <v>289</v>
      </c>
      <c r="C206" s="44" t="s">
        <v>1093</v>
      </c>
      <c r="D206" s="30"/>
      <c r="E206" s="30"/>
      <c r="F206" s="30"/>
      <c r="G206" s="30"/>
      <c r="H206" s="30"/>
    </row>
    <row r="207" spans="1:8" ht="18" customHeight="1" x14ac:dyDescent="0.3">
      <c r="B207" s="27" t="s">
        <v>290</v>
      </c>
      <c r="C207" s="44" t="s">
        <v>166</v>
      </c>
      <c r="D207" s="30"/>
      <c r="E207" s="30"/>
      <c r="F207" s="30"/>
      <c r="G207" s="30"/>
      <c r="H207" s="30"/>
    </row>
    <row r="208" spans="1:8" ht="15.9" customHeight="1" x14ac:dyDescent="0.3">
      <c r="B208" s="43" t="s">
        <v>282</v>
      </c>
      <c r="C208" s="30"/>
      <c r="D208" s="30"/>
      <c r="E208" s="30"/>
      <c r="F208" s="30"/>
      <c r="G208" s="30"/>
      <c r="H208" s="30"/>
    </row>
    <row r="209" spans="2:8" ht="30.9" customHeight="1" x14ac:dyDescent="0.3">
      <c r="B209" s="27" t="s">
        <v>291</v>
      </c>
      <c r="C209" s="44" t="s">
        <v>366</v>
      </c>
      <c r="D209" s="30"/>
      <c r="E209" s="30"/>
      <c r="F209" s="30"/>
      <c r="G209" s="30"/>
      <c r="H209" s="30"/>
    </row>
    <row r="210" spans="2:8" ht="18" customHeight="1" x14ac:dyDescent="0.3">
      <c r="B210" s="27" t="s">
        <v>292</v>
      </c>
      <c r="C210" s="44" t="s">
        <v>367</v>
      </c>
      <c r="D210" s="30"/>
      <c r="E210" s="30"/>
      <c r="F210" s="30"/>
      <c r="G210" s="30"/>
      <c r="H210" s="30"/>
    </row>
    <row r="211" spans="2:8" ht="30.9" customHeight="1" x14ac:dyDescent="0.3">
      <c r="B211" s="27" t="s">
        <v>293</v>
      </c>
      <c r="C211" s="44" t="s">
        <v>368</v>
      </c>
      <c r="D211" s="30"/>
      <c r="E211" s="30"/>
      <c r="F211" s="30"/>
      <c r="G211" s="30"/>
      <c r="H211" s="30"/>
    </row>
    <row r="212" spans="2:8" ht="15.9" customHeight="1" x14ac:dyDescent="0.3">
      <c r="B212" s="43" t="s">
        <v>283</v>
      </c>
      <c r="C212" s="30"/>
      <c r="D212" s="30"/>
      <c r="E212" s="30"/>
      <c r="F212" s="30"/>
      <c r="G212" s="30"/>
      <c r="H212" s="30"/>
    </row>
    <row r="213" spans="2:8" ht="18" customHeight="1" x14ac:dyDescent="0.3">
      <c r="B213" s="27" t="s">
        <v>294</v>
      </c>
      <c r="C213" s="44" t="s">
        <v>308</v>
      </c>
      <c r="D213" s="30"/>
      <c r="E213" s="30"/>
      <c r="F213" s="30"/>
      <c r="G213" s="30"/>
      <c r="H213" s="30"/>
    </row>
    <row r="214" spans="2:8" ht="18" customHeight="1" x14ac:dyDescent="0.3">
      <c r="B214" s="27" t="s">
        <v>295</v>
      </c>
      <c r="C214" s="44" t="s">
        <v>309</v>
      </c>
      <c r="D214" s="30"/>
      <c r="E214" s="30"/>
      <c r="F214" s="30"/>
      <c r="G214" s="30"/>
      <c r="H214" s="30"/>
    </row>
    <row r="215" spans="2:8" ht="18" customHeight="1" x14ac:dyDescent="0.3">
      <c r="B215" s="27" t="s">
        <v>296</v>
      </c>
      <c r="C215" s="44" t="s">
        <v>310</v>
      </c>
      <c r="D215" s="30"/>
      <c r="E215" s="30"/>
      <c r="F215" s="30"/>
      <c r="G215" s="30"/>
      <c r="H215" s="30"/>
    </row>
    <row r="216" spans="2:8" ht="15.9" customHeight="1" x14ac:dyDescent="0.3">
      <c r="B216" s="43" t="s">
        <v>284</v>
      </c>
      <c r="C216" s="30"/>
      <c r="D216" s="30"/>
      <c r="E216" s="30"/>
      <c r="F216" s="30"/>
      <c r="G216" s="30"/>
      <c r="H216" s="30"/>
    </row>
    <row r="217" spans="2:8" ht="18" customHeight="1" x14ac:dyDescent="0.3">
      <c r="B217" s="27" t="s">
        <v>297</v>
      </c>
      <c r="C217" s="44" t="s">
        <v>369</v>
      </c>
      <c r="D217" s="30"/>
      <c r="E217" s="30"/>
      <c r="F217" s="30"/>
      <c r="G217" s="30"/>
      <c r="H217" s="30"/>
    </row>
    <row r="218" spans="2:8" ht="18" customHeight="1" x14ac:dyDescent="0.3">
      <c r="B218" s="27" t="s">
        <v>298</v>
      </c>
      <c r="C218" s="44" t="s">
        <v>370</v>
      </c>
      <c r="D218" s="30"/>
      <c r="E218" s="30"/>
      <c r="F218" s="30"/>
      <c r="G218" s="30"/>
      <c r="H218" s="30"/>
    </row>
    <row r="219" spans="2:8" ht="42.9" customHeight="1" x14ac:dyDescent="0.3">
      <c r="B219" s="27" t="s">
        <v>299</v>
      </c>
      <c r="C219" s="44" t="s">
        <v>371</v>
      </c>
      <c r="D219" s="30"/>
      <c r="E219" s="30"/>
      <c r="F219" s="30"/>
      <c r="G219" s="30"/>
      <c r="H219" s="30"/>
    </row>
    <row r="220" spans="2:8" ht="18" customHeight="1" x14ac:dyDescent="0.3">
      <c r="B220" s="27" t="s">
        <v>300</v>
      </c>
      <c r="C220" s="44" t="s">
        <v>372</v>
      </c>
      <c r="D220" s="30"/>
      <c r="E220" s="30"/>
      <c r="F220" s="30"/>
      <c r="G220" s="30"/>
      <c r="H220" s="30"/>
    </row>
    <row r="221" spans="2:8" ht="30.9" customHeight="1" x14ac:dyDescent="0.3">
      <c r="B221" s="27" t="s">
        <v>301</v>
      </c>
      <c r="C221" s="44" t="s">
        <v>373</v>
      </c>
      <c r="D221" s="30"/>
      <c r="E221" s="30"/>
      <c r="F221" s="30"/>
      <c r="G221" s="30"/>
      <c r="H221" s="30"/>
    </row>
    <row r="222" spans="2:8" ht="15.9" customHeight="1" x14ac:dyDescent="0.3">
      <c r="B222" s="43" t="s">
        <v>285</v>
      </c>
      <c r="C222" s="30"/>
      <c r="D222" s="30"/>
      <c r="E222" s="30"/>
      <c r="F222" s="30"/>
      <c r="G222" s="30"/>
      <c r="H222" s="30"/>
    </row>
    <row r="223" spans="2:8" ht="18" customHeight="1" x14ac:dyDescent="0.3">
      <c r="B223" s="27" t="s">
        <v>302</v>
      </c>
      <c r="C223" s="44" t="s">
        <v>339</v>
      </c>
      <c r="D223" s="30"/>
      <c r="E223" s="30"/>
      <c r="F223" s="30"/>
      <c r="G223" s="30"/>
      <c r="H223" s="30"/>
    </row>
    <row r="224" spans="2:8" ht="18" customHeight="1" x14ac:dyDescent="0.3">
      <c r="B224" s="27" t="s">
        <v>303</v>
      </c>
      <c r="C224" s="44" t="s">
        <v>374</v>
      </c>
      <c r="D224" s="30"/>
      <c r="E224" s="30"/>
      <c r="F224" s="30"/>
      <c r="G224" s="30"/>
      <c r="H224" s="30"/>
    </row>
    <row r="225" spans="1:8" ht="18" customHeight="1" x14ac:dyDescent="0.3">
      <c r="B225" s="27" t="s">
        <v>304</v>
      </c>
      <c r="C225" s="44" t="s">
        <v>1095</v>
      </c>
      <c r="D225" s="30"/>
      <c r="E225" s="30"/>
      <c r="F225" s="30"/>
      <c r="G225" s="30"/>
      <c r="H225" s="30"/>
    </row>
    <row r="228" spans="1:8" ht="21.9" customHeight="1" x14ac:dyDescent="0.3">
      <c r="A228" s="45" t="s">
        <v>1102</v>
      </c>
      <c r="B228" s="30"/>
      <c r="C228" s="30"/>
      <c r="D228" s="30"/>
      <c r="E228" s="30"/>
      <c r="F228" s="30"/>
      <c r="G228" s="30"/>
      <c r="H228" s="30"/>
    </row>
    <row r="230" spans="1:8" ht="15.9" customHeight="1" x14ac:dyDescent="0.3">
      <c r="B230" s="43" t="s">
        <v>3</v>
      </c>
      <c r="C230" s="30"/>
      <c r="D230" s="30"/>
      <c r="E230" s="30"/>
      <c r="F230" s="30"/>
      <c r="G230" s="30"/>
      <c r="H230" s="30"/>
    </row>
    <row r="231" spans="1:8" ht="18" customHeight="1" x14ac:dyDescent="0.3">
      <c r="B231" s="27" t="s">
        <v>286</v>
      </c>
      <c r="C231" s="44" t="s">
        <v>375</v>
      </c>
      <c r="D231" s="30"/>
      <c r="E231" s="30"/>
      <c r="F231" s="30"/>
      <c r="G231" s="30"/>
      <c r="H231" s="30"/>
    </row>
    <row r="232" spans="1:8" ht="18" customHeight="1" x14ac:dyDescent="0.3">
      <c r="B232" s="27" t="s">
        <v>287</v>
      </c>
      <c r="C232" s="44" t="s">
        <v>376</v>
      </c>
      <c r="D232" s="30"/>
      <c r="E232" s="30"/>
      <c r="F232" s="30"/>
      <c r="G232" s="30"/>
      <c r="H232" s="30"/>
    </row>
    <row r="233" spans="1:8" ht="18" customHeight="1" x14ac:dyDescent="0.3">
      <c r="B233" s="27" t="s">
        <v>288</v>
      </c>
      <c r="C233" s="44" t="s">
        <v>169</v>
      </c>
      <c r="D233" s="30"/>
      <c r="E233" s="30"/>
      <c r="F233" s="30"/>
      <c r="G233" s="30"/>
      <c r="H233" s="30"/>
    </row>
    <row r="234" spans="1:8" ht="18" customHeight="1" x14ac:dyDescent="0.3">
      <c r="B234" s="27" t="s">
        <v>289</v>
      </c>
      <c r="C234" s="44" t="s">
        <v>1093</v>
      </c>
      <c r="D234" s="30"/>
      <c r="E234" s="30"/>
      <c r="F234" s="30"/>
      <c r="G234" s="30"/>
      <c r="H234" s="30"/>
    </row>
    <row r="235" spans="1:8" ht="18" customHeight="1" x14ac:dyDescent="0.3">
      <c r="B235" s="27" t="s">
        <v>290</v>
      </c>
      <c r="C235" s="44" t="s">
        <v>166</v>
      </c>
      <c r="D235" s="30"/>
      <c r="E235" s="30"/>
      <c r="F235" s="30"/>
      <c r="G235" s="30"/>
      <c r="H235" s="30"/>
    </row>
    <row r="236" spans="1:8" ht="15.9" customHeight="1" x14ac:dyDescent="0.3">
      <c r="B236" s="43" t="s">
        <v>282</v>
      </c>
      <c r="C236" s="30"/>
      <c r="D236" s="30"/>
      <c r="E236" s="30"/>
      <c r="F236" s="30"/>
      <c r="G236" s="30"/>
      <c r="H236" s="30"/>
    </row>
    <row r="237" spans="1:8" ht="18" customHeight="1" x14ac:dyDescent="0.3">
      <c r="B237" s="27" t="s">
        <v>291</v>
      </c>
      <c r="C237" s="44" t="s">
        <v>377</v>
      </c>
      <c r="D237" s="30"/>
      <c r="E237" s="30"/>
      <c r="F237" s="30"/>
      <c r="G237" s="30"/>
      <c r="H237" s="30"/>
    </row>
    <row r="238" spans="1:8" ht="18" customHeight="1" x14ac:dyDescent="0.3">
      <c r="B238" s="27" t="s">
        <v>292</v>
      </c>
      <c r="C238" s="44" t="s">
        <v>378</v>
      </c>
      <c r="D238" s="30"/>
      <c r="E238" s="30"/>
      <c r="F238" s="30"/>
      <c r="G238" s="30"/>
      <c r="H238" s="30"/>
    </row>
    <row r="239" spans="1:8" ht="30.9" customHeight="1" x14ac:dyDescent="0.3">
      <c r="B239" s="27" t="s">
        <v>293</v>
      </c>
      <c r="C239" s="44" t="s">
        <v>379</v>
      </c>
      <c r="D239" s="30"/>
      <c r="E239" s="30"/>
      <c r="F239" s="30"/>
      <c r="G239" s="30"/>
      <c r="H239" s="30"/>
    </row>
    <row r="240" spans="1:8" ht="15.9" customHeight="1" x14ac:dyDescent="0.3">
      <c r="B240" s="43" t="s">
        <v>283</v>
      </c>
      <c r="C240" s="30"/>
      <c r="D240" s="30"/>
      <c r="E240" s="30"/>
      <c r="F240" s="30"/>
      <c r="G240" s="30"/>
      <c r="H240" s="30"/>
    </row>
    <row r="241" spans="1:8" ht="18" customHeight="1" x14ac:dyDescent="0.3">
      <c r="B241" s="27" t="s">
        <v>294</v>
      </c>
      <c r="C241" s="44" t="s">
        <v>308</v>
      </c>
      <c r="D241" s="30"/>
      <c r="E241" s="30"/>
      <c r="F241" s="30"/>
      <c r="G241" s="30"/>
      <c r="H241" s="30"/>
    </row>
    <row r="242" spans="1:8" ht="18" customHeight="1" x14ac:dyDescent="0.3">
      <c r="B242" s="27" t="s">
        <v>295</v>
      </c>
      <c r="C242" s="44" t="s">
        <v>309</v>
      </c>
      <c r="D242" s="30"/>
      <c r="E242" s="30"/>
      <c r="F242" s="30"/>
      <c r="G242" s="30"/>
      <c r="H242" s="30"/>
    </row>
    <row r="243" spans="1:8" ht="18" customHeight="1" x14ac:dyDescent="0.3">
      <c r="B243" s="27" t="s">
        <v>296</v>
      </c>
      <c r="C243" s="44" t="s">
        <v>310</v>
      </c>
      <c r="D243" s="30"/>
      <c r="E243" s="30"/>
      <c r="F243" s="30"/>
      <c r="G243" s="30"/>
      <c r="H243" s="30"/>
    </row>
    <row r="244" spans="1:8" ht="15.9" customHeight="1" x14ac:dyDescent="0.3">
      <c r="B244" s="43" t="s">
        <v>284</v>
      </c>
      <c r="C244" s="30"/>
      <c r="D244" s="30"/>
      <c r="E244" s="30"/>
      <c r="F244" s="30"/>
      <c r="G244" s="30"/>
      <c r="H244" s="30"/>
    </row>
    <row r="245" spans="1:8" ht="18" customHeight="1" x14ac:dyDescent="0.3">
      <c r="B245" s="27" t="s">
        <v>297</v>
      </c>
      <c r="C245" s="44" t="s">
        <v>380</v>
      </c>
      <c r="D245" s="30"/>
      <c r="E245" s="30"/>
      <c r="F245" s="30"/>
      <c r="G245" s="30"/>
      <c r="H245" s="30"/>
    </row>
    <row r="246" spans="1:8" ht="18" customHeight="1" x14ac:dyDescent="0.3">
      <c r="B246" s="27" t="s">
        <v>298</v>
      </c>
      <c r="C246" s="44" t="s">
        <v>381</v>
      </c>
      <c r="D246" s="30"/>
      <c r="E246" s="30"/>
      <c r="F246" s="30"/>
      <c r="G246" s="30"/>
      <c r="H246" s="30"/>
    </row>
    <row r="247" spans="1:8" ht="42.9" customHeight="1" x14ac:dyDescent="0.3">
      <c r="B247" s="27" t="s">
        <v>299</v>
      </c>
      <c r="C247" s="44" t="s">
        <v>382</v>
      </c>
      <c r="D247" s="30"/>
      <c r="E247" s="30"/>
      <c r="F247" s="30"/>
      <c r="G247" s="30"/>
      <c r="H247" s="30"/>
    </row>
    <row r="248" spans="1:8" ht="30.9" customHeight="1" x14ac:dyDescent="0.3">
      <c r="B248" s="27" t="s">
        <v>300</v>
      </c>
      <c r="C248" s="44" t="s">
        <v>383</v>
      </c>
      <c r="D248" s="30"/>
      <c r="E248" s="30"/>
      <c r="F248" s="30"/>
      <c r="G248" s="30"/>
      <c r="H248" s="30"/>
    </row>
    <row r="249" spans="1:8" ht="30.9" customHeight="1" x14ac:dyDescent="0.3">
      <c r="B249" s="27" t="s">
        <v>301</v>
      </c>
      <c r="C249" s="44" t="s">
        <v>384</v>
      </c>
      <c r="D249" s="30"/>
      <c r="E249" s="30"/>
      <c r="F249" s="30"/>
      <c r="G249" s="30"/>
      <c r="H249" s="30"/>
    </row>
    <row r="250" spans="1:8" ht="15.9" customHeight="1" x14ac:dyDescent="0.3">
      <c r="B250" s="43" t="s">
        <v>285</v>
      </c>
      <c r="C250" s="30"/>
      <c r="D250" s="30"/>
      <c r="E250" s="30"/>
      <c r="F250" s="30"/>
      <c r="G250" s="30"/>
      <c r="H250" s="30"/>
    </row>
    <row r="251" spans="1:8" ht="18" customHeight="1" x14ac:dyDescent="0.3">
      <c r="B251" s="27" t="s">
        <v>302</v>
      </c>
      <c r="C251" s="44" t="s">
        <v>364</v>
      </c>
      <c r="D251" s="30"/>
      <c r="E251" s="30"/>
      <c r="F251" s="30"/>
      <c r="G251" s="30"/>
      <c r="H251" s="30"/>
    </row>
    <row r="252" spans="1:8" ht="18" customHeight="1" x14ac:dyDescent="0.3">
      <c r="B252" s="27" t="s">
        <v>303</v>
      </c>
      <c r="C252" s="44" t="s">
        <v>354</v>
      </c>
      <c r="D252" s="30"/>
      <c r="E252" s="30"/>
      <c r="F252" s="30"/>
      <c r="G252" s="30"/>
      <c r="H252" s="30"/>
    </row>
    <row r="253" spans="1:8" ht="18" customHeight="1" x14ac:dyDescent="0.3">
      <c r="B253" s="27" t="s">
        <v>304</v>
      </c>
      <c r="C253" s="44" t="s">
        <v>385</v>
      </c>
      <c r="D253" s="30"/>
      <c r="E253" s="30"/>
      <c r="F253" s="30"/>
      <c r="G253" s="30"/>
      <c r="H253" s="30"/>
    </row>
    <row r="256" spans="1:8" ht="21.9" customHeight="1" x14ac:dyDescent="0.3">
      <c r="A256" s="45" t="s">
        <v>1103</v>
      </c>
      <c r="B256" s="30"/>
      <c r="C256" s="30"/>
      <c r="D256" s="30"/>
      <c r="E256" s="30"/>
      <c r="F256" s="30"/>
      <c r="G256" s="30"/>
      <c r="H256" s="30"/>
    </row>
    <row r="258" spans="2:8" ht="15.9" customHeight="1" x14ac:dyDescent="0.3">
      <c r="B258" s="43" t="s">
        <v>3</v>
      </c>
      <c r="C258" s="30"/>
      <c r="D258" s="30"/>
      <c r="E258" s="30"/>
      <c r="F258" s="30"/>
      <c r="G258" s="30"/>
      <c r="H258" s="30"/>
    </row>
    <row r="259" spans="2:8" ht="18" customHeight="1" x14ac:dyDescent="0.3">
      <c r="B259" s="27" t="s">
        <v>286</v>
      </c>
      <c r="C259" s="44" t="s">
        <v>386</v>
      </c>
      <c r="D259" s="30"/>
      <c r="E259" s="30"/>
      <c r="F259" s="30"/>
      <c r="G259" s="30"/>
      <c r="H259" s="30"/>
    </row>
    <row r="260" spans="2:8" ht="18" customHeight="1" x14ac:dyDescent="0.3">
      <c r="B260" s="27" t="s">
        <v>287</v>
      </c>
      <c r="C260" s="44" t="s">
        <v>387</v>
      </c>
      <c r="D260" s="30"/>
      <c r="E260" s="30"/>
      <c r="F260" s="30"/>
      <c r="G260" s="30"/>
      <c r="H260" s="30"/>
    </row>
    <row r="261" spans="2:8" ht="18" customHeight="1" x14ac:dyDescent="0.3">
      <c r="B261" s="27" t="s">
        <v>288</v>
      </c>
      <c r="C261" s="44" t="s">
        <v>169</v>
      </c>
      <c r="D261" s="30"/>
      <c r="E261" s="30"/>
      <c r="F261" s="30"/>
      <c r="G261" s="30"/>
      <c r="H261" s="30"/>
    </row>
    <row r="262" spans="2:8" ht="18" customHeight="1" x14ac:dyDescent="0.3">
      <c r="B262" s="27" t="s">
        <v>289</v>
      </c>
      <c r="C262" s="44" t="s">
        <v>1093</v>
      </c>
      <c r="D262" s="30"/>
      <c r="E262" s="30"/>
      <c r="F262" s="30"/>
      <c r="G262" s="30"/>
      <c r="H262" s="30"/>
    </row>
    <row r="263" spans="2:8" ht="18" customHeight="1" x14ac:dyDescent="0.3">
      <c r="B263" s="27" t="s">
        <v>290</v>
      </c>
      <c r="C263" s="44" t="s">
        <v>166</v>
      </c>
      <c r="D263" s="30"/>
      <c r="E263" s="30"/>
      <c r="F263" s="30"/>
      <c r="G263" s="30"/>
      <c r="H263" s="30"/>
    </row>
    <row r="264" spans="2:8" ht="15.9" customHeight="1" x14ac:dyDescent="0.3">
      <c r="B264" s="43" t="s">
        <v>282</v>
      </c>
      <c r="C264" s="30"/>
      <c r="D264" s="30"/>
      <c r="E264" s="30"/>
      <c r="F264" s="30"/>
      <c r="G264" s="30"/>
      <c r="H264" s="30"/>
    </row>
    <row r="265" spans="2:8" ht="18" customHeight="1" x14ac:dyDescent="0.3">
      <c r="B265" s="27" t="s">
        <v>291</v>
      </c>
      <c r="C265" s="44" t="s">
        <v>388</v>
      </c>
      <c r="D265" s="30"/>
      <c r="E265" s="30"/>
      <c r="F265" s="30"/>
      <c r="G265" s="30"/>
      <c r="H265" s="30"/>
    </row>
    <row r="266" spans="2:8" ht="18" customHeight="1" x14ac:dyDescent="0.3">
      <c r="B266" s="27" t="s">
        <v>292</v>
      </c>
      <c r="C266" s="44" t="s">
        <v>389</v>
      </c>
      <c r="D266" s="30"/>
      <c r="E266" s="30"/>
      <c r="F266" s="30"/>
      <c r="G266" s="30"/>
      <c r="H266" s="30"/>
    </row>
    <row r="267" spans="2:8" ht="30.9" customHeight="1" x14ac:dyDescent="0.3">
      <c r="B267" s="27" t="s">
        <v>293</v>
      </c>
      <c r="C267" s="44" t="s">
        <v>390</v>
      </c>
      <c r="D267" s="30"/>
      <c r="E267" s="30"/>
      <c r="F267" s="30"/>
      <c r="G267" s="30"/>
      <c r="H267" s="30"/>
    </row>
    <row r="268" spans="2:8" ht="15.9" customHeight="1" x14ac:dyDescent="0.3">
      <c r="B268" s="43" t="s">
        <v>283</v>
      </c>
      <c r="C268" s="30"/>
      <c r="D268" s="30"/>
      <c r="E268" s="30"/>
      <c r="F268" s="30"/>
      <c r="G268" s="30"/>
      <c r="H268" s="30"/>
    </row>
    <row r="269" spans="2:8" ht="18" customHeight="1" x14ac:dyDescent="0.3">
      <c r="B269" s="27" t="s">
        <v>294</v>
      </c>
      <c r="C269" s="44" t="s">
        <v>308</v>
      </c>
      <c r="D269" s="30"/>
      <c r="E269" s="30"/>
      <c r="F269" s="30"/>
      <c r="G269" s="30"/>
      <c r="H269" s="30"/>
    </row>
    <row r="270" spans="2:8" ht="18" customHeight="1" x14ac:dyDescent="0.3">
      <c r="B270" s="27" t="s">
        <v>295</v>
      </c>
      <c r="C270" s="44" t="s">
        <v>309</v>
      </c>
      <c r="D270" s="30"/>
      <c r="E270" s="30"/>
      <c r="F270" s="30"/>
      <c r="G270" s="30"/>
      <c r="H270" s="30"/>
    </row>
    <row r="271" spans="2:8" ht="18" customHeight="1" x14ac:dyDescent="0.3">
      <c r="B271" s="27" t="s">
        <v>296</v>
      </c>
      <c r="C271" s="44" t="s">
        <v>310</v>
      </c>
      <c r="D271" s="30"/>
      <c r="E271" s="30"/>
      <c r="F271" s="30"/>
      <c r="G271" s="30"/>
      <c r="H271" s="30"/>
    </row>
    <row r="272" spans="2:8" ht="15.9" customHeight="1" x14ac:dyDescent="0.3">
      <c r="B272" s="43" t="s">
        <v>284</v>
      </c>
      <c r="C272" s="30"/>
      <c r="D272" s="30"/>
      <c r="E272" s="30"/>
      <c r="F272" s="30"/>
      <c r="G272" s="30"/>
      <c r="H272" s="30"/>
    </row>
    <row r="273" spans="1:8" ht="18" customHeight="1" x14ac:dyDescent="0.3">
      <c r="B273" s="27" t="s">
        <v>297</v>
      </c>
      <c r="C273" s="44" t="s">
        <v>391</v>
      </c>
      <c r="D273" s="30"/>
      <c r="E273" s="30"/>
      <c r="F273" s="30"/>
      <c r="G273" s="30"/>
      <c r="H273" s="30"/>
    </row>
    <row r="274" spans="1:8" ht="18" customHeight="1" x14ac:dyDescent="0.3">
      <c r="B274" s="27" t="s">
        <v>298</v>
      </c>
      <c r="C274" s="44" t="s">
        <v>392</v>
      </c>
      <c r="D274" s="30"/>
      <c r="E274" s="30"/>
      <c r="F274" s="30"/>
      <c r="G274" s="30"/>
      <c r="H274" s="30"/>
    </row>
    <row r="275" spans="1:8" ht="42.9" customHeight="1" x14ac:dyDescent="0.3">
      <c r="B275" s="27" t="s">
        <v>299</v>
      </c>
      <c r="C275" s="44" t="s">
        <v>393</v>
      </c>
      <c r="D275" s="30"/>
      <c r="E275" s="30"/>
      <c r="F275" s="30"/>
      <c r="G275" s="30"/>
      <c r="H275" s="30"/>
    </row>
    <row r="276" spans="1:8" ht="18" customHeight="1" x14ac:dyDescent="0.3">
      <c r="B276" s="27" t="s">
        <v>300</v>
      </c>
      <c r="C276" s="44" t="s">
        <v>394</v>
      </c>
      <c r="D276" s="30"/>
      <c r="E276" s="30"/>
      <c r="F276" s="30"/>
      <c r="G276" s="30"/>
      <c r="H276" s="30"/>
    </row>
    <row r="277" spans="1:8" ht="30.9" customHeight="1" x14ac:dyDescent="0.3">
      <c r="B277" s="27" t="s">
        <v>301</v>
      </c>
      <c r="C277" s="44" t="s">
        <v>395</v>
      </c>
      <c r="D277" s="30"/>
      <c r="E277" s="30"/>
      <c r="F277" s="30"/>
      <c r="G277" s="30"/>
      <c r="H277" s="30"/>
    </row>
    <row r="278" spans="1:8" ht="15.9" customHeight="1" x14ac:dyDescent="0.3">
      <c r="B278" s="43" t="s">
        <v>285</v>
      </c>
      <c r="C278" s="30"/>
      <c r="D278" s="30"/>
      <c r="E278" s="30"/>
      <c r="F278" s="30"/>
      <c r="G278" s="30"/>
      <c r="H278" s="30"/>
    </row>
    <row r="279" spans="1:8" ht="18" customHeight="1" x14ac:dyDescent="0.3">
      <c r="B279" s="27" t="s">
        <v>302</v>
      </c>
      <c r="C279" s="44" t="s">
        <v>364</v>
      </c>
      <c r="D279" s="30"/>
      <c r="E279" s="30"/>
      <c r="F279" s="30"/>
      <c r="G279" s="30"/>
      <c r="H279" s="30"/>
    </row>
    <row r="280" spans="1:8" ht="18" customHeight="1" x14ac:dyDescent="0.3">
      <c r="B280" s="27" t="s">
        <v>303</v>
      </c>
      <c r="C280" s="44" t="s">
        <v>354</v>
      </c>
      <c r="D280" s="30"/>
      <c r="E280" s="30"/>
      <c r="F280" s="30"/>
      <c r="G280" s="30"/>
      <c r="H280" s="30"/>
    </row>
    <row r="281" spans="1:8" ht="18" customHeight="1" x14ac:dyDescent="0.3">
      <c r="B281" s="27" t="s">
        <v>304</v>
      </c>
      <c r="C281" s="44" t="s">
        <v>1095</v>
      </c>
      <c r="D281" s="30"/>
      <c r="E281" s="30"/>
      <c r="F281" s="30"/>
      <c r="G281" s="30"/>
      <c r="H281" s="30"/>
    </row>
    <row r="284" spans="1:8" ht="21.9" customHeight="1" x14ac:dyDescent="0.3">
      <c r="A284" s="45" t="s">
        <v>1104</v>
      </c>
      <c r="B284" s="30"/>
      <c r="C284" s="30"/>
      <c r="D284" s="30"/>
      <c r="E284" s="30"/>
      <c r="F284" s="30"/>
      <c r="G284" s="30"/>
      <c r="H284" s="30"/>
    </row>
    <row r="286" spans="1:8" ht="15.9" customHeight="1" x14ac:dyDescent="0.3">
      <c r="B286" s="43" t="s">
        <v>3</v>
      </c>
      <c r="C286" s="30"/>
      <c r="D286" s="30"/>
      <c r="E286" s="30"/>
      <c r="F286" s="30"/>
      <c r="G286" s="30"/>
      <c r="H286" s="30"/>
    </row>
    <row r="287" spans="1:8" ht="18" customHeight="1" x14ac:dyDescent="0.3">
      <c r="B287" s="27" t="s">
        <v>286</v>
      </c>
      <c r="C287" s="44" t="s">
        <v>396</v>
      </c>
      <c r="D287" s="30"/>
      <c r="E287" s="30"/>
      <c r="F287" s="30"/>
      <c r="G287" s="30"/>
      <c r="H287" s="30"/>
    </row>
    <row r="288" spans="1:8" ht="18" customHeight="1" x14ac:dyDescent="0.3">
      <c r="B288" s="27" t="s">
        <v>287</v>
      </c>
      <c r="C288" s="44" t="s">
        <v>397</v>
      </c>
      <c r="D288" s="30"/>
      <c r="E288" s="30"/>
      <c r="F288" s="30"/>
      <c r="G288" s="30"/>
      <c r="H288" s="30"/>
    </row>
    <row r="289" spans="2:8" ht="18" customHeight="1" x14ac:dyDescent="0.3">
      <c r="B289" s="27" t="s">
        <v>288</v>
      </c>
      <c r="C289" s="44" t="s">
        <v>169</v>
      </c>
      <c r="D289" s="30"/>
      <c r="E289" s="30"/>
      <c r="F289" s="30"/>
      <c r="G289" s="30"/>
      <c r="H289" s="30"/>
    </row>
    <row r="290" spans="2:8" ht="18" customHeight="1" x14ac:dyDescent="0.3">
      <c r="B290" s="27" t="s">
        <v>289</v>
      </c>
      <c r="C290" s="44" t="s">
        <v>1093</v>
      </c>
      <c r="D290" s="30"/>
      <c r="E290" s="30"/>
      <c r="F290" s="30"/>
      <c r="G290" s="30"/>
      <c r="H290" s="30"/>
    </row>
    <row r="291" spans="2:8" ht="18" customHeight="1" x14ac:dyDescent="0.3">
      <c r="B291" s="27" t="s">
        <v>290</v>
      </c>
      <c r="C291" s="44" t="s">
        <v>166</v>
      </c>
      <c r="D291" s="30"/>
      <c r="E291" s="30"/>
      <c r="F291" s="30"/>
      <c r="G291" s="30"/>
      <c r="H291" s="30"/>
    </row>
    <row r="292" spans="2:8" ht="15.9" customHeight="1" x14ac:dyDescent="0.3">
      <c r="B292" s="43" t="s">
        <v>282</v>
      </c>
      <c r="C292" s="30"/>
      <c r="D292" s="30"/>
      <c r="E292" s="30"/>
      <c r="F292" s="30"/>
      <c r="G292" s="30"/>
      <c r="H292" s="30"/>
    </row>
    <row r="293" spans="2:8" ht="18" customHeight="1" x14ac:dyDescent="0.3">
      <c r="B293" s="27" t="s">
        <v>291</v>
      </c>
      <c r="C293" s="44" t="s">
        <v>398</v>
      </c>
      <c r="D293" s="30"/>
      <c r="E293" s="30"/>
      <c r="F293" s="30"/>
      <c r="G293" s="30"/>
      <c r="H293" s="30"/>
    </row>
    <row r="294" spans="2:8" ht="18" customHeight="1" x14ac:dyDescent="0.3">
      <c r="B294" s="27" t="s">
        <v>292</v>
      </c>
      <c r="C294" s="44" t="s">
        <v>399</v>
      </c>
      <c r="D294" s="30"/>
      <c r="E294" s="30"/>
      <c r="F294" s="30"/>
      <c r="G294" s="30"/>
      <c r="H294" s="30"/>
    </row>
    <row r="295" spans="2:8" ht="30.9" customHeight="1" x14ac:dyDescent="0.3">
      <c r="B295" s="27" t="s">
        <v>293</v>
      </c>
      <c r="C295" s="44" t="s">
        <v>400</v>
      </c>
      <c r="D295" s="30"/>
      <c r="E295" s="30"/>
      <c r="F295" s="30"/>
      <c r="G295" s="30"/>
      <c r="H295" s="30"/>
    </row>
    <row r="296" spans="2:8" ht="15.9" customHeight="1" x14ac:dyDescent="0.3">
      <c r="B296" s="43" t="s">
        <v>283</v>
      </c>
      <c r="C296" s="30"/>
      <c r="D296" s="30"/>
      <c r="E296" s="30"/>
      <c r="F296" s="30"/>
      <c r="G296" s="30"/>
      <c r="H296" s="30"/>
    </row>
    <row r="297" spans="2:8" ht="18" customHeight="1" x14ac:dyDescent="0.3">
      <c r="B297" s="27" t="s">
        <v>294</v>
      </c>
      <c r="C297" s="44" t="s">
        <v>308</v>
      </c>
      <c r="D297" s="30"/>
      <c r="E297" s="30"/>
      <c r="F297" s="30"/>
      <c r="G297" s="30"/>
      <c r="H297" s="30"/>
    </row>
    <row r="298" spans="2:8" ht="18" customHeight="1" x14ac:dyDescent="0.3">
      <c r="B298" s="27" t="s">
        <v>295</v>
      </c>
      <c r="C298" s="44" t="s">
        <v>309</v>
      </c>
      <c r="D298" s="30"/>
      <c r="E298" s="30"/>
      <c r="F298" s="30"/>
      <c r="G298" s="30"/>
      <c r="H298" s="30"/>
    </row>
    <row r="299" spans="2:8" ht="18" customHeight="1" x14ac:dyDescent="0.3">
      <c r="B299" s="27" t="s">
        <v>296</v>
      </c>
      <c r="C299" s="44" t="s">
        <v>310</v>
      </c>
      <c r="D299" s="30"/>
      <c r="E299" s="30"/>
      <c r="F299" s="30"/>
      <c r="G299" s="30"/>
      <c r="H299" s="30"/>
    </row>
    <row r="300" spans="2:8" ht="15.9" customHeight="1" x14ac:dyDescent="0.3">
      <c r="B300" s="43" t="s">
        <v>284</v>
      </c>
      <c r="C300" s="30"/>
      <c r="D300" s="30"/>
      <c r="E300" s="30"/>
      <c r="F300" s="30"/>
      <c r="G300" s="30"/>
      <c r="H300" s="30"/>
    </row>
    <row r="301" spans="2:8" ht="18" customHeight="1" x14ac:dyDescent="0.3">
      <c r="B301" s="27" t="s">
        <v>297</v>
      </c>
      <c r="C301" s="44" t="s">
        <v>401</v>
      </c>
      <c r="D301" s="30"/>
      <c r="E301" s="30"/>
      <c r="F301" s="30"/>
      <c r="G301" s="30"/>
      <c r="H301" s="30"/>
    </row>
    <row r="302" spans="2:8" ht="18" customHeight="1" x14ac:dyDescent="0.3">
      <c r="B302" s="27" t="s">
        <v>298</v>
      </c>
      <c r="C302" s="44" t="s">
        <v>402</v>
      </c>
      <c r="D302" s="30"/>
      <c r="E302" s="30"/>
      <c r="F302" s="30"/>
      <c r="G302" s="30"/>
      <c r="H302" s="30"/>
    </row>
    <row r="303" spans="2:8" ht="42.9" customHeight="1" x14ac:dyDescent="0.3">
      <c r="B303" s="27" t="s">
        <v>299</v>
      </c>
      <c r="C303" s="44" t="s">
        <v>403</v>
      </c>
      <c r="D303" s="30"/>
      <c r="E303" s="30"/>
      <c r="F303" s="30"/>
      <c r="G303" s="30"/>
      <c r="H303" s="30"/>
    </row>
    <row r="304" spans="2:8" ht="18" customHeight="1" x14ac:dyDescent="0.3">
      <c r="B304" s="27" t="s">
        <v>300</v>
      </c>
      <c r="C304" s="44" t="s">
        <v>404</v>
      </c>
      <c r="D304" s="30"/>
      <c r="E304" s="30"/>
      <c r="F304" s="30"/>
      <c r="G304" s="30"/>
      <c r="H304" s="30"/>
    </row>
    <row r="305" spans="1:8" ht="30.9" customHeight="1" x14ac:dyDescent="0.3">
      <c r="B305" s="27" t="s">
        <v>301</v>
      </c>
      <c r="C305" s="44" t="s">
        <v>405</v>
      </c>
      <c r="D305" s="30"/>
      <c r="E305" s="30"/>
      <c r="F305" s="30"/>
      <c r="G305" s="30"/>
      <c r="H305" s="30"/>
    </row>
    <row r="306" spans="1:8" ht="15.9" customHeight="1" x14ac:dyDescent="0.3">
      <c r="B306" s="43" t="s">
        <v>285</v>
      </c>
      <c r="C306" s="30"/>
      <c r="D306" s="30"/>
      <c r="E306" s="30"/>
      <c r="F306" s="30"/>
      <c r="G306" s="30"/>
      <c r="H306" s="30"/>
    </row>
    <row r="307" spans="1:8" ht="18" customHeight="1" x14ac:dyDescent="0.3">
      <c r="B307" s="27" t="s">
        <v>302</v>
      </c>
      <c r="C307" s="44" t="s">
        <v>375</v>
      </c>
      <c r="D307" s="30"/>
      <c r="E307" s="30"/>
      <c r="F307" s="30"/>
      <c r="G307" s="30"/>
      <c r="H307" s="30"/>
    </row>
    <row r="308" spans="1:8" ht="18" customHeight="1" x14ac:dyDescent="0.3">
      <c r="B308" s="27" t="s">
        <v>303</v>
      </c>
      <c r="C308" s="44" t="s">
        <v>354</v>
      </c>
      <c r="D308" s="30"/>
      <c r="E308" s="30"/>
      <c r="F308" s="30"/>
      <c r="G308" s="30"/>
      <c r="H308" s="30"/>
    </row>
    <row r="309" spans="1:8" ht="30.9" customHeight="1" x14ac:dyDescent="0.3">
      <c r="B309" s="27" t="s">
        <v>304</v>
      </c>
      <c r="C309" s="44" t="s">
        <v>406</v>
      </c>
      <c r="D309" s="30"/>
      <c r="E309" s="30"/>
      <c r="F309" s="30"/>
      <c r="G309" s="30"/>
      <c r="H309" s="30"/>
    </row>
    <row r="312" spans="1:8" ht="21.9" customHeight="1" x14ac:dyDescent="0.3">
      <c r="A312" s="45" t="s">
        <v>1105</v>
      </c>
      <c r="B312" s="30"/>
      <c r="C312" s="30"/>
      <c r="D312" s="30"/>
      <c r="E312" s="30"/>
      <c r="F312" s="30"/>
      <c r="G312" s="30"/>
      <c r="H312" s="30"/>
    </row>
    <row r="314" spans="1:8" ht="15.9" customHeight="1" x14ac:dyDescent="0.3">
      <c r="B314" s="43" t="s">
        <v>3</v>
      </c>
      <c r="C314" s="30"/>
      <c r="D314" s="30"/>
      <c r="E314" s="30"/>
      <c r="F314" s="30"/>
      <c r="G314" s="30"/>
      <c r="H314" s="30"/>
    </row>
    <row r="315" spans="1:8" ht="18" customHeight="1" x14ac:dyDescent="0.3">
      <c r="B315" s="27" t="s">
        <v>286</v>
      </c>
      <c r="C315" s="44" t="s">
        <v>407</v>
      </c>
      <c r="D315" s="30"/>
      <c r="E315" s="30"/>
      <c r="F315" s="30"/>
      <c r="G315" s="30"/>
      <c r="H315" s="30"/>
    </row>
    <row r="316" spans="1:8" ht="18" customHeight="1" x14ac:dyDescent="0.3">
      <c r="B316" s="27" t="s">
        <v>287</v>
      </c>
      <c r="C316" s="44" t="s">
        <v>408</v>
      </c>
      <c r="D316" s="30"/>
      <c r="E316" s="30"/>
      <c r="F316" s="30"/>
      <c r="G316" s="30"/>
      <c r="H316" s="30"/>
    </row>
    <row r="317" spans="1:8" ht="18" customHeight="1" x14ac:dyDescent="0.3">
      <c r="B317" s="27" t="s">
        <v>288</v>
      </c>
      <c r="C317" s="44" t="s">
        <v>169</v>
      </c>
      <c r="D317" s="30"/>
      <c r="E317" s="30"/>
      <c r="F317" s="30"/>
      <c r="G317" s="30"/>
      <c r="H317" s="30"/>
    </row>
    <row r="318" spans="1:8" ht="18" customHeight="1" x14ac:dyDescent="0.3">
      <c r="B318" s="27" t="s">
        <v>289</v>
      </c>
      <c r="C318" s="44" t="s">
        <v>1093</v>
      </c>
      <c r="D318" s="30"/>
      <c r="E318" s="30"/>
      <c r="F318" s="30"/>
      <c r="G318" s="30"/>
      <c r="H318" s="30"/>
    </row>
    <row r="319" spans="1:8" ht="18" customHeight="1" x14ac:dyDescent="0.3">
      <c r="B319" s="27" t="s">
        <v>290</v>
      </c>
      <c r="C319" s="44" t="s">
        <v>166</v>
      </c>
      <c r="D319" s="30"/>
      <c r="E319" s="30"/>
      <c r="F319" s="30"/>
      <c r="G319" s="30"/>
      <c r="H319" s="30"/>
    </row>
    <row r="320" spans="1:8" ht="15.9" customHeight="1" x14ac:dyDescent="0.3">
      <c r="B320" s="43" t="s">
        <v>282</v>
      </c>
      <c r="C320" s="30"/>
      <c r="D320" s="30"/>
      <c r="E320" s="30"/>
      <c r="F320" s="30"/>
      <c r="G320" s="30"/>
      <c r="H320" s="30"/>
    </row>
    <row r="321" spans="2:8" ht="18" customHeight="1" x14ac:dyDescent="0.3">
      <c r="B321" s="27" t="s">
        <v>291</v>
      </c>
      <c r="C321" s="44" t="s">
        <v>409</v>
      </c>
      <c r="D321" s="30"/>
      <c r="E321" s="30"/>
      <c r="F321" s="30"/>
      <c r="G321" s="30"/>
      <c r="H321" s="30"/>
    </row>
    <row r="322" spans="2:8" ht="18" customHeight="1" x14ac:dyDescent="0.3">
      <c r="B322" s="27" t="s">
        <v>292</v>
      </c>
      <c r="C322" s="44" t="s">
        <v>410</v>
      </c>
      <c r="D322" s="30"/>
      <c r="E322" s="30"/>
      <c r="F322" s="30"/>
      <c r="G322" s="30"/>
      <c r="H322" s="30"/>
    </row>
    <row r="323" spans="2:8" ht="30.9" customHeight="1" x14ac:dyDescent="0.3">
      <c r="B323" s="27" t="s">
        <v>293</v>
      </c>
      <c r="C323" s="44" t="s">
        <v>411</v>
      </c>
      <c r="D323" s="30"/>
      <c r="E323" s="30"/>
      <c r="F323" s="30"/>
      <c r="G323" s="30"/>
      <c r="H323" s="30"/>
    </row>
    <row r="324" spans="2:8" ht="15.9" customHeight="1" x14ac:dyDescent="0.3">
      <c r="B324" s="43" t="s">
        <v>283</v>
      </c>
      <c r="C324" s="30"/>
      <c r="D324" s="30"/>
      <c r="E324" s="30"/>
      <c r="F324" s="30"/>
      <c r="G324" s="30"/>
      <c r="H324" s="30"/>
    </row>
    <row r="325" spans="2:8" ht="18" customHeight="1" x14ac:dyDescent="0.3">
      <c r="B325" s="27" t="s">
        <v>294</v>
      </c>
      <c r="C325" s="44" t="s">
        <v>308</v>
      </c>
      <c r="D325" s="30"/>
      <c r="E325" s="30"/>
      <c r="F325" s="30"/>
      <c r="G325" s="30"/>
      <c r="H325" s="30"/>
    </row>
    <row r="326" spans="2:8" ht="18" customHeight="1" x14ac:dyDescent="0.3">
      <c r="B326" s="27" t="s">
        <v>295</v>
      </c>
      <c r="C326" s="44" t="s">
        <v>309</v>
      </c>
      <c r="D326" s="30"/>
      <c r="E326" s="30"/>
      <c r="F326" s="30"/>
      <c r="G326" s="30"/>
      <c r="H326" s="30"/>
    </row>
    <row r="327" spans="2:8" ht="18" customHeight="1" x14ac:dyDescent="0.3">
      <c r="B327" s="27" t="s">
        <v>296</v>
      </c>
      <c r="C327" s="44" t="s">
        <v>310</v>
      </c>
      <c r="D327" s="30"/>
      <c r="E327" s="30"/>
      <c r="F327" s="30"/>
      <c r="G327" s="30"/>
      <c r="H327" s="30"/>
    </row>
    <row r="328" spans="2:8" ht="15.9" customHeight="1" x14ac:dyDescent="0.3">
      <c r="B328" s="43" t="s">
        <v>284</v>
      </c>
      <c r="C328" s="30"/>
      <c r="D328" s="30"/>
      <c r="E328" s="30"/>
      <c r="F328" s="30"/>
      <c r="G328" s="30"/>
      <c r="H328" s="30"/>
    </row>
    <row r="329" spans="2:8" ht="18" customHeight="1" x14ac:dyDescent="0.3">
      <c r="B329" s="27" t="s">
        <v>297</v>
      </c>
      <c r="C329" s="44" t="s">
        <v>412</v>
      </c>
      <c r="D329" s="30"/>
      <c r="E329" s="30"/>
      <c r="F329" s="30"/>
      <c r="G329" s="30"/>
      <c r="H329" s="30"/>
    </row>
    <row r="330" spans="2:8" ht="18" customHeight="1" x14ac:dyDescent="0.3">
      <c r="B330" s="27" t="s">
        <v>298</v>
      </c>
      <c r="C330" s="44" t="s">
        <v>413</v>
      </c>
      <c r="D330" s="30"/>
      <c r="E330" s="30"/>
      <c r="F330" s="30"/>
      <c r="G330" s="30"/>
      <c r="H330" s="30"/>
    </row>
    <row r="331" spans="2:8" ht="56.1" customHeight="1" x14ac:dyDescent="0.3">
      <c r="B331" s="27" t="s">
        <v>299</v>
      </c>
      <c r="C331" s="44" t="s">
        <v>414</v>
      </c>
      <c r="D331" s="30"/>
      <c r="E331" s="30"/>
      <c r="F331" s="30"/>
      <c r="G331" s="30"/>
      <c r="H331" s="30"/>
    </row>
    <row r="332" spans="2:8" ht="18" customHeight="1" x14ac:dyDescent="0.3">
      <c r="B332" s="27" t="s">
        <v>300</v>
      </c>
      <c r="C332" s="44" t="s">
        <v>415</v>
      </c>
      <c r="D332" s="30"/>
      <c r="E332" s="30"/>
      <c r="F332" s="30"/>
      <c r="G332" s="30"/>
      <c r="H332" s="30"/>
    </row>
    <row r="333" spans="2:8" ht="30.9" customHeight="1" x14ac:dyDescent="0.3">
      <c r="B333" s="27" t="s">
        <v>301</v>
      </c>
      <c r="C333" s="44" t="s">
        <v>416</v>
      </c>
      <c r="D333" s="30"/>
      <c r="E333" s="30"/>
      <c r="F333" s="30"/>
      <c r="G333" s="30"/>
      <c r="H333" s="30"/>
    </row>
    <row r="334" spans="2:8" ht="15.9" customHeight="1" x14ac:dyDescent="0.3">
      <c r="B334" s="43" t="s">
        <v>285</v>
      </c>
      <c r="C334" s="30"/>
      <c r="D334" s="30"/>
      <c r="E334" s="30"/>
      <c r="F334" s="30"/>
      <c r="G334" s="30"/>
      <c r="H334" s="30"/>
    </row>
    <row r="335" spans="2:8" ht="18" customHeight="1" x14ac:dyDescent="0.3">
      <c r="B335" s="27" t="s">
        <v>302</v>
      </c>
      <c r="C335" s="44" t="s">
        <v>417</v>
      </c>
      <c r="D335" s="30"/>
      <c r="E335" s="30"/>
      <c r="F335" s="30"/>
      <c r="G335" s="30"/>
      <c r="H335" s="30"/>
    </row>
    <row r="336" spans="2:8" ht="18" customHeight="1" x14ac:dyDescent="0.3">
      <c r="B336" s="27" t="s">
        <v>303</v>
      </c>
      <c r="C336" s="44" t="s">
        <v>418</v>
      </c>
      <c r="D336" s="30"/>
      <c r="E336" s="30"/>
      <c r="F336" s="30"/>
      <c r="G336" s="30"/>
      <c r="H336" s="30"/>
    </row>
    <row r="337" spans="1:8" ht="18" customHeight="1" x14ac:dyDescent="0.3">
      <c r="B337" s="27" t="s">
        <v>304</v>
      </c>
      <c r="C337" s="44" t="s">
        <v>1095</v>
      </c>
      <c r="D337" s="30"/>
      <c r="E337" s="30"/>
      <c r="F337" s="30"/>
      <c r="G337" s="30"/>
      <c r="H337" s="30"/>
    </row>
    <row r="340" spans="1:8" ht="21.9" customHeight="1" x14ac:dyDescent="0.3">
      <c r="A340" s="45" t="s">
        <v>1106</v>
      </c>
      <c r="B340" s="30"/>
      <c r="C340" s="30"/>
      <c r="D340" s="30"/>
      <c r="E340" s="30"/>
      <c r="F340" s="30"/>
      <c r="G340" s="30"/>
      <c r="H340" s="30"/>
    </row>
    <row r="342" spans="1:8" ht="15.9" customHeight="1" x14ac:dyDescent="0.3">
      <c r="B342" s="43" t="s">
        <v>3</v>
      </c>
      <c r="C342" s="30"/>
      <c r="D342" s="30"/>
      <c r="E342" s="30"/>
      <c r="F342" s="30"/>
      <c r="G342" s="30"/>
      <c r="H342" s="30"/>
    </row>
    <row r="343" spans="1:8" ht="18" customHeight="1" x14ac:dyDescent="0.3">
      <c r="B343" s="27" t="s">
        <v>286</v>
      </c>
      <c r="C343" s="44" t="s">
        <v>418</v>
      </c>
      <c r="D343" s="30"/>
      <c r="E343" s="30"/>
      <c r="F343" s="30"/>
      <c r="G343" s="30"/>
      <c r="H343" s="30"/>
    </row>
    <row r="344" spans="1:8" ht="18" customHeight="1" x14ac:dyDescent="0.3">
      <c r="B344" s="27" t="s">
        <v>287</v>
      </c>
      <c r="C344" s="44" t="s">
        <v>419</v>
      </c>
      <c r="D344" s="30"/>
      <c r="E344" s="30"/>
      <c r="F344" s="30"/>
      <c r="G344" s="30"/>
      <c r="H344" s="30"/>
    </row>
    <row r="345" spans="1:8" ht="18" customHeight="1" x14ac:dyDescent="0.3">
      <c r="B345" s="27" t="s">
        <v>288</v>
      </c>
      <c r="C345" s="44" t="s">
        <v>169</v>
      </c>
      <c r="D345" s="30"/>
      <c r="E345" s="30"/>
      <c r="F345" s="30"/>
      <c r="G345" s="30"/>
      <c r="H345" s="30"/>
    </row>
    <row r="346" spans="1:8" ht="18" customHeight="1" x14ac:dyDescent="0.3">
      <c r="B346" s="27" t="s">
        <v>289</v>
      </c>
      <c r="C346" s="44" t="s">
        <v>1093</v>
      </c>
      <c r="D346" s="30"/>
      <c r="E346" s="30"/>
      <c r="F346" s="30"/>
      <c r="G346" s="30"/>
      <c r="H346" s="30"/>
    </row>
    <row r="347" spans="1:8" ht="18" customHeight="1" x14ac:dyDescent="0.3">
      <c r="B347" s="27" t="s">
        <v>290</v>
      </c>
      <c r="C347" s="44" t="s">
        <v>166</v>
      </c>
      <c r="D347" s="30"/>
      <c r="E347" s="30"/>
      <c r="F347" s="30"/>
      <c r="G347" s="30"/>
      <c r="H347" s="30"/>
    </row>
    <row r="348" spans="1:8" ht="15.9" customHeight="1" x14ac:dyDescent="0.3">
      <c r="B348" s="43" t="s">
        <v>282</v>
      </c>
      <c r="C348" s="30"/>
      <c r="D348" s="30"/>
      <c r="E348" s="30"/>
      <c r="F348" s="30"/>
      <c r="G348" s="30"/>
      <c r="H348" s="30"/>
    </row>
    <row r="349" spans="1:8" ht="30.9" customHeight="1" x14ac:dyDescent="0.3">
      <c r="B349" s="27" t="s">
        <v>291</v>
      </c>
      <c r="C349" s="44" t="s">
        <v>420</v>
      </c>
      <c r="D349" s="30"/>
      <c r="E349" s="30"/>
      <c r="F349" s="30"/>
      <c r="G349" s="30"/>
      <c r="H349" s="30"/>
    </row>
    <row r="350" spans="1:8" ht="18" customHeight="1" x14ac:dyDescent="0.3">
      <c r="B350" s="27" t="s">
        <v>292</v>
      </c>
      <c r="C350" s="44" t="s">
        <v>421</v>
      </c>
      <c r="D350" s="30"/>
      <c r="E350" s="30"/>
      <c r="F350" s="30"/>
      <c r="G350" s="30"/>
      <c r="H350" s="30"/>
    </row>
    <row r="351" spans="1:8" ht="30.9" customHeight="1" x14ac:dyDescent="0.3">
      <c r="B351" s="27" t="s">
        <v>293</v>
      </c>
      <c r="C351" s="44" t="s">
        <v>422</v>
      </c>
      <c r="D351" s="30"/>
      <c r="E351" s="30"/>
      <c r="F351" s="30"/>
      <c r="G351" s="30"/>
      <c r="H351" s="30"/>
    </row>
    <row r="352" spans="1:8" ht="15.9" customHeight="1" x14ac:dyDescent="0.3">
      <c r="B352" s="43" t="s">
        <v>283</v>
      </c>
      <c r="C352" s="30"/>
      <c r="D352" s="30"/>
      <c r="E352" s="30"/>
      <c r="F352" s="30"/>
      <c r="G352" s="30"/>
      <c r="H352" s="30"/>
    </row>
    <row r="353" spans="1:8" ht="18" customHeight="1" x14ac:dyDescent="0.3">
      <c r="B353" s="27" t="s">
        <v>294</v>
      </c>
      <c r="C353" s="44" t="s">
        <v>308</v>
      </c>
      <c r="D353" s="30"/>
      <c r="E353" s="30"/>
      <c r="F353" s="30"/>
      <c r="G353" s="30"/>
      <c r="H353" s="30"/>
    </row>
    <row r="354" spans="1:8" ht="18" customHeight="1" x14ac:dyDescent="0.3">
      <c r="B354" s="27" t="s">
        <v>295</v>
      </c>
      <c r="C354" s="44" t="s">
        <v>309</v>
      </c>
      <c r="D354" s="30"/>
      <c r="E354" s="30"/>
      <c r="F354" s="30"/>
      <c r="G354" s="30"/>
      <c r="H354" s="30"/>
    </row>
    <row r="355" spans="1:8" ht="18" customHeight="1" x14ac:dyDescent="0.3">
      <c r="B355" s="27" t="s">
        <v>296</v>
      </c>
      <c r="C355" s="44" t="s">
        <v>310</v>
      </c>
      <c r="D355" s="30"/>
      <c r="E355" s="30"/>
      <c r="F355" s="30"/>
      <c r="G355" s="30"/>
      <c r="H355" s="30"/>
    </row>
    <row r="356" spans="1:8" ht="15.9" customHeight="1" x14ac:dyDescent="0.3">
      <c r="B356" s="43" t="s">
        <v>284</v>
      </c>
      <c r="C356" s="30"/>
      <c r="D356" s="30"/>
      <c r="E356" s="30"/>
      <c r="F356" s="30"/>
      <c r="G356" s="30"/>
      <c r="H356" s="30"/>
    </row>
    <row r="357" spans="1:8" ht="18" customHeight="1" x14ac:dyDescent="0.3">
      <c r="B357" s="27" t="s">
        <v>297</v>
      </c>
      <c r="C357" s="44" t="s">
        <v>423</v>
      </c>
      <c r="D357" s="30"/>
      <c r="E357" s="30"/>
      <c r="F357" s="30"/>
      <c r="G357" s="30"/>
      <c r="H357" s="30"/>
    </row>
    <row r="358" spans="1:8" ht="18" customHeight="1" x14ac:dyDescent="0.3">
      <c r="B358" s="27" t="s">
        <v>298</v>
      </c>
      <c r="C358" s="44" t="s">
        <v>424</v>
      </c>
      <c r="D358" s="30"/>
      <c r="E358" s="30"/>
      <c r="F358" s="30"/>
      <c r="G358" s="30"/>
      <c r="H358" s="30"/>
    </row>
    <row r="359" spans="1:8" ht="56.1" customHeight="1" x14ac:dyDescent="0.3">
      <c r="B359" s="27" t="s">
        <v>299</v>
      </c>
      <c r="C359" s="44" t="s">
        <v>425</v>
      </c>
      <c r="D359" s="30"/>
      <c r="E359" s="30"/>
      <c r="F359" s="30"/>
      <c r="G359" s="30"/>
      <c r="H359" s="30"/>
    </row>
    <row r="360" spans="1:8" ht="30.9" customHeight="1" x14ac:dyDescent="0.3">
      <c r="B360" s="27" t="s">
        <v>300</v>
      </c>
      <c r="C360" s="44" t="s">
        <v>426</v>
      </c>
      <c r="D360" s="30"/>
      <c r="E360" s="30"/>
      <c r="F360" s="30"/>
      <c r="G360" s="30"/>
      <c r="H360" s="30"/>
    </row>
    <row r="361" spans="1:8" ht="30.9" customHeight="1" x14ac:dyDescent="0.3">
      <c r="B361" s="27" t="s">
        <v>301</v>
      </c>
      <c r="C361" s="44" t="s">
        <v>427</v>
      </c>
      <c r="D361" s="30"/>
      <c r="E361" s="30"/>
      <c r="F361" s="30"/>
      <c r="G361" s="30"/>
      <c r="H361" s="30"/>
    </row>
    <row r="362" spans="1:8" ht="15.9" customHeight="1" x14ac:dyDescent="0.3">
      <c r="B362" s="43" t="s">
        <v>285</v>
      </c>
      <c r="C362" s="30"/>
      <c r="D362" s="30"/>
      <c r="E362" s="30"/>
      <c r="F362" s="30"/>
      <c r="G362" s="30"/>
      <c r="H362" s="30"/>
    </row>
    <row r="363" spans="1:8" ht="18" customHeight="1" x14ac:dyDescent="0.3">
      <c r="B363" s="27" t="s">
        <v>302</v>
      </c>
      <c r="C363" s="44" t="s">
        <v>407</v>
      </c>
      <c r="D363" s="30"/>
      <c r="E363" s="30"/>
      <c r="F363" s="30"/>
      <c r="G363" s="30"/>
      <c r="H363" s="30"/>
    </row>
    <row r="364" spans="1:8" ht="18" customHeight="1" x14ac:dyDescent="0.3">
      <c r="B364" s="27" t="s">
        <v>303</v>
      </c>
      <c r="C364" s="44" t="s">
        <v>428</v>
      </c>
      <c r="D364" s="30"/>
      <c r="E364" s="30"/>
      <c r="F364" s="30"/>
      <c r="G364" s="30"/>
      <c r="H364" s="30"/>
    </row>
    <row r="365" spans="1:8" ht="18" customHeight="1" x14ac:dyDescent="0.3">
      <c r="B365" s="27" t="s">
        <v>304</v>
      </c>
      <c r="C365" s="44" t="s">
        <v>1095</v>
      </c>
      <c r="D365" s="30"/>
      <c r="E365" s="30"/>
      <c r="F365" s="30"/>
      <c r="G365" s="30"/>
      <c r="H365" s="30"/>
    </row>
    <row r="368" spans="1:8" ht="21.9" customHeight="1" x14ac:dyDescent="0.3">
      <c r="A368" s="45" t="s">
        <v>1107</v>
      </c>
      <c r="B368" s="30"/>
      <c r="C368" s="30"/>
      <c r="D368" s="30"/>
      <c r="E368" s="30"/>
      <c r="F368" s="30"/>
      <c r="G368" s="30"/>
      <c r="H368" s="30"/>
    </row>
    <row r="370" spans="2:8" ht="15.9" customHeight="1" x14ac:dyDescent="0.3">
      <c r="B370" s="43" t="s">
        <v>3</v>
      </c>
      <c r="C370" s="30"/>
      <c r="D370" s="30"/>
      <c r="E370" s="30"/>
      <c r="F370" s="30"/>
      <c r="G370" s="30"/>
      <c r="H370" s="30"/>
    </row>
    <row r="371" spans="2:8" ht="18" customHeight="1" x14ac:dyDescent="0.3">
      <c r="B371" s="27" t="s">
        <v>286</v>
      </c>
      <c r="C371" s="44" t="s">
        <v>428</v>
      </c>
      <c r="D371" s="30"/>
      <c r="E371" s="30"/>
      <c r="F371" s="30"/>
      <c r="G371" s="30"/>
      <c r="H371" s="30"/>
    </row>
    <row r="372" spans="2:8" ht="18" customHeight="1" x14ac:dyDescent="0.3">
      <c r="B372" s="27" t="s">
        <v>287</v>
      </c>
      <c r="C372" s="44" t="s">
        <v>429</v>
      </c>
      <c r="D372" s="30"/>
      <c r="E372" s="30"/>
      <c r="F372" s="30"/>
      <c r="G372" s="30"/>
      <c r="H372" s="30"/>
    </row>
    <row r="373" spans="2:8" ht="18" customHeight="1" x14ac:dyDescent="0.3">
      <c r="B373" s="27" t="s">
        <v>288</v>
      </c>
      <c r="C373" s="44" t="s">
        <v>169</v>
      </c>
      <c r="D373" s="30"/>
      <c r="E373" s="30"/>
      <c r="F373" s="30"/>
      <c r="G373" s="30"/>
      <c r="H373" s="30"/>
    </row>
    <row r="374" spans="2:8" ht="18" customHeight="1" x14ac:dyDescent="0.3">
      <c r="B374" s="27" t="s">
        <v>289</v>
      </c>
      <c r="C374" s="44" t="s">
        <v>1093</v>
      </c>
      <c r="D374" s="30"/>
      <c r="E374" s="30"/>
      <c r="F374" s="30"/>
      <c r="G374" s="30"/>
      <c r="H374" s="30"/>
    </row>
    <row r="375" spans="2:8" ht="18" customHeight="1" x14ac:dyDescent="0.3">
      <c r="B375" s="27" t="s">
        <v>290</v>
      </c>
      <c r="C375" s="44" t="s">
        <v>166</v>
      </c>
      <c r="D375" s="30"/>
      <c r="E375" s="30"/>
      <c r="F375" s="30"/>
      <c r="G375" s="30"/>
      <c r="H375" s="30"/>
    </row>
    <row r="376" spans="2:8" ht="15.9" customHeight="1" x14ac:dyDescent="0.3">
      <c r="B376" s="43" t="s">
        <v>282</v>
      </c>
      <c r="C376" s="30"/>
      <c r="D376" s="30"/>
      <c r="E376" s="30"/>
      <c r="F376" s="30"/>
      <c r="G376" s="30"/>
      <c r="H376" s="30"/>
    </row>
    <row r="377" spans="2:8" ht="30.9" customHeight="1" x14ac:dyDescent="0.3">
      <c r="B377" s="27" t="s">
        <v>291</v>
      </c>
      <c r="C377" s="44" t="s">
        <v>430</v>
      </c>
      <c r="D377" s="30"/>
      <c r="E377" s="30"/>
      <c r="F377" s="30"/>
      <c r="G377" s="30"/>
      <c r="H377" s="30"/>
    </row>
    <row r="378" spans="2:8" ht="18" customHeight="1" x14ac:dyDescent="0.3">
      <c r="B378" s="27" t="s">
        <v>292</v>
      </c>
      <c r="C378" s="44" t="s">
        <v>389</v>
      </c>
      <c r="D378" s="30"/>
      <c r="E378" s="30"/>
      <c r="F378" s="30"/>
      <c r="G378" s="30"/>
      <c r="H378" s="30"/>
    </row>
    <row r="379" spans="2:8" ht="30.9" customHeight="1" x14ac:dyDescent="0.3">
      <c r="B379" s="27" t="s">
        <v>293</v>
      </c>
      <c r="C379" s="44" t="s">
        <v>431</v>
      </c>
      <c r="D379" s="30"/>
      <c r="E379" s="30"/>
      <c r="F379" s="30"/>
      <c r="G379" s="30"/>
      <c r="H379" s="30"/>
    </row>
    <row r="380" spans="2:8" ht="15.9" customHeight="1" x14ac:dyDescent="0.3">
      <c r="B380" s="43" t="s">
        <v>283</v>
      </c>
      <c r="C380" s="30"/>
      <c r="D380" s="30"/>
      <c r="E380" s="30"/>
      <c r="F380" s="30"/>
      <c r="G380" s="30"/>
      <c r="H380" s="30"/>
    </row>
    <row r="381" spans="2:8" ht="18" customHeight="1" x14ac:dyDescent="0.3">
      <c r="B381" s="27" t="s">
        <v>294</v>
      </c>
      <c r="C381" s="44" t="s">
        <v>308</v>
      </c>
      <c r="D381" s="30"/>
      <c r="E381" s="30"/>
      <c r="F381" s="30"/>
      <c r="G381" s="30"/>
      <c r="H381" s="30"/>
    </row>
    <row r="382" spans="2:8" ht="18" customHeight="1" x14ac:dyDescent="0.3">
      <c r="B382" s="27" t="s">
        <v>295</v>
      </c>
      <c r="C382" s="44" t="s">
        <v>309</v>
      </c>
      <c r="D382" s="30"/>
      <c r="E382" s="30"/>
      <c r="F382" s="30"/>
      <c r="G382" s="30"/>
      <c r="H382" s="30"/>
    </row>
    <row r="383" spans="2:8" ht="18" customHeight="1" x14ac:dyDescent="0.3">
      <c r="B383" s="27" t="s">
        <v>296</v>
      </c>
      <c r="C383" s="44" t="s">
        <v>310</v>
      </c>
      <c r="D383" s="30"/>
      <c r="E383" s="30"/>
      <c r="F383" s="30"/>
      <c r="G383" s="30"/>
      <c r="H383" s="30"/>
    </row>
    <row r="384" spans="2:8" ht="15.9" customHeight="1" x14ac:dyDescent="0.3">
      <c r="B384" s="43" t="s">
        <v>284</v>
      </c>
      <c r="C384" s="30"/>
      <c r="D384" s="30"/>
      <c r="E384" s="30"/>
      <c r="F384" s="30"/>
      <c r="G384" s="30"/>
      <c r="H384" s="30"/>
    </row>
    <row r="385" spans="1:8" ht="18" customHeight="1" x14ac:dyDescent="0.3">
      <c r="B385" s="27" t="s">
        <v>297</v>
      </c>
      <c r="C385" s="44" t="s">
        <v>432</v>
      </c>
      <c r="D385" s="30"/>
      <c r="E385" s="30"/>
      <c r="F385" s="30"/>
      <c r="G385" s="30"/>
      <c r="H385" s="30"/>
    </row>
    <row r="386" spans="1:8" ht="18" customHeight="1" x14ac:dyDescent="0.3">
      <c r="B386" s="27" t="s">
        <v>298</v>
      </c>
      <c r="C386" s="44" t="s">
        <v>433</v>
      </c>
      <c r="D386" s="30"/>
      <c r="E386" s="30"/>
      <c r="F386" s="30"/>
      <c r="G386" s="30"/>
      <c r="H386" s="30"/>
    </row>
    <row r="387" spans="1:8" ht="42.9" customHeight="1" x14ac:dyDescent="0.3">
      <c r="B387" s="27" t="s">
        <v>299</v>
      </c>
      <c r="C387" s="44" t="s">
        <v>434</v>
      </c>
      <c r="D387" s="30"/>
      <c r="E387" s="30"/>
      <c r="F387" s="30"/>
      <c r="G387" s="30"/>
      <c r="H387" s="30"/>
    </row>
    <row r="388" spans="1:8" ht="30.9" customHeight="1" x14ac:dyDescent="0.3">
      <c r="B388" s="27" t="s">
        <v>300</v>
      </c>
      <c r="C388" s="44" t="s">
        <v>435</v>
      </c>
      <c r="D388" s="30"/>
      <c r="E388" s="30"/>
      <c r="F388" s="30"/>
      <c r="G388" s="30"/>
      <c r="H388" s="30"/>
    </row>
    <row r="389" spans="1:8" ht="30.9" customHeight="1" x14ac:dyDescent="0.3">
      <c r="B389" s="27" t="s">
        <v>301</v>
      </c>
      <c r="C389" s="44" t="s">
        <v>436</v>
      </c>
      <c r="D389" s="30"/>
      <c r="E389" s="30"/>
      <c r="F389" s="30"/>
      <c r="G389" s="30"/>
      <c r="H389" s="30"/>
    </row>
    <row r="390" spans="1:8" ht="15.9" customHeight="1" x14ac:dyDescent="0.3">
      <c r="B390" s="43" t="s">
        <v>285</v>
      </c>
      <c r="C390" s="30"/>
      <c r="D390" s="30"/>
      <c r="E390" s="30"/>
      <c r="F390" s="30"/>
      <c r="G390" s="30"/>
      <c r="H390" s="30"/>
    </row>
    <row r="391" spans="1:8" ht="18" customHeight="1" x14ac:dyDescent="0.3">
      <c r="B391" s="27" t="s">
        <v>302</v>
      </c>
      <c r="C391" s="44" t="s">
        <v>418</v>
      </c>
      <c r="D391" s="30"/>
      <c r="E391" s="30"/>
      <c r="F391" s="30"/>
      <c r="G391" s="30"/>
      <c r="H391" s="30"/>
    </row>
    <row r="392" spans="1:8" ht="18" customHeight="1" x14ac:dyDescent="0.3">
      <c r="B392" s="27" t="s">
        <v>303</v>
      </c>
      <c r="C392" s="44" t="s">
        <v>437</v>
      </c>
      <c r="D392" s="30"/>
      <c r="E392" s="30"/>
      <c r="F392" s="30"/>
      <c r="G392" s="30"/>
      <c r="H392" s="30"/>
    </row>
    <row r="393" spans="1:8" ht="30.9" customHeight="1" x14ac:dyDescent="0.3">
      <c r="B393" s="27" t="s">
        <v>304</v>
      </c>
      <c r="C393" s="44" t="s">
        <v>438</v>
      </c>
      <c r="D393" s="30"/>
      <c r="E393" s="30"/>
      <c r="F393" s="30"/>
      <c r="G393" s="30"/>
      <c r="H393" s="30"/>
    </row>
    <row r="396" spans="1:8" ht="21.9" customHeight="1" x14ac:dyDescent="0.3">
      <c r="A396" s="45" t="s">
        <v>1108</v>
      </c>
      <c r="B396" s="30"/>
      <c r="C396" s="30"/>
      <c r="D396" s="30"/>
      <c r="E396" s="30"/>
      <c r="F396" s="30"/>
      <c r="G396" s="30"/>
      <c r="H396" s="30"/>
    </row>
    <row r="398" spans="1:8" ht="15.9" customHeight="1" x14ac:dyDescent="0.3">
      <c r="B398" s="43" t="s">
        <v>3</v>
      </c>
      <c r="C398" s="30"/>
      <c r="D398" s="30"/>
      <c r="E398" s="30"/>
      <c r="F398" s="30"/>
      <c r="G398" s="30"/>
      <c r="H398" s="30"/>
    </row>
    <row r="399" spans="1:8" ht="18" customHeight="1" x14ac:dyDescent="0.3">
      <c r="B399" s="27" t="s">
        <v>286</v>
      </c>
      <c r="C399" s="44" t="s">
        <v>437</v>
      </c>
      <c r="D399" s="30"/>
      <c r="E399" s="30"/>
      <c r="F399" s="30"/>
      <c r="G399" s="30"/>
      <c r="H399" s="30"/>
    </row>
    <row r="400" spans="1:8" ht="18" customHeight="1" x14ac:dyDescent="0.3">
      <c r="B400" s="27" t="s">
        <v>287</v>
      </c>
      <c r="C400" s="44" t="s">
        <v>439</v>
      </c>
      <c r="D400" s="30"/>
      <c r="E400" s="30"/>
      <c r="F400" s="30"/>
      <c r="G400" s="30"/>
      <c r="H400" s="30"/>
    </row>
    <row r="401" spans="2:8" ht="18" customHeight="1" x14ac:dyDescent="0.3">
      <c r="B401" s="27" t="s">
        <v>288</v>
      </c>
      <c r="C401" s="44" t="s">
        <v>169</v>
      </c>
      <c r="D401" s="30"/>
      <c r="E401" s="30"/>
      <c r="F401" s="30"/>
      <c r="G401" s="30"/>
      <c r="H401" s="30"/>
    </row>
    <row r="402" spans="2:8" ht="18" customHeight="1" x14ac:dyDescent="0.3">
      <c r="B402" s="27" t="s">
        <v>289</v>
      </c>
      <c r="C402" s="44" t="s">
        <v>1093</v>
      </c>
      <c r="D402" s="30"/>
      <c r="E402" s="30"/>
      <c r="F402" s="30"/>
      <c r="G402" s="30"/>
      <c r="H402" s="30"/>
    </row>
    <row r="403" spans="2:8" ht="18" customHeight="1" x14ac:dyDescent="0.3">
      <c r="B403" s="27" t="s">
        <v>290</v>
      </c>
      <c r="C403" s="44" t="s">
        <v>166</v>
      </c>
      <c r="D403" s="30"/>
      <c r="E403" s="30"/>
      <c r="F403" s="30"/>
      <c r="G403" s="30"/>
      <c r="H403" s="30"/>
    </row>
    <row r="404" spans="2:8" ht="15.9" customHeight="1" x14ac:dyDescent="0.3">
      <c r="B404" s="43" t="s">
        <v>282</v>
      </c>
      <c r="C404" s="30"/>
      <c r="D404" s="30"/>
      <c r="E404" s="30"/>
      <c r="F404" s="30"/>
      <c r="G404" s="30"/>
      <c r="H404" s="30"/>
    </row>
    <row r="405" spans="2:8" ht="18" customHeight="1" x14ac:dyDescent="0.3">
      <c r="B405" s="27" t="s">
        <v>291</v>
      </c>
      <c r="C405" s="44" t="s">
        <v>440</v>
      </c>
      <c r="D405" s="30"/>
      <c r="E405" s="30"/>
      <c r="F405" s="30"/>
      <c r="G405" s="30"/>
      <c r="H405" s="30"/>
    </row>
    <row r="406" spans="2:8" ht="18" customHeight="1" x14ac:dyDescent="0.3">
      <c r="B406" s="27" t="s">
        <v>292</v>
      </c>
      <c r="C406" s="44" t="s">
        <v>389</v>
      </c>
      <c r="D406" s="30"/>
      <c r="E406" s="30"/>
      <c r="F406" s="30"/>
      <c r="G406" s="30"/>
      <c r="H406" s="30"/>
    </row>
    <row r="407" spans="2:8" ht="30.9" customHeight="1" x14ac:dyDescent="0.3">
      <c r="B407" s="27" t="s">
        <v>293</v>
      </c>
      <c r="C407" s="44" t="s">
        <v>441</v>
      </c>
      <c r="D407" s="30"/>
      <c r="E407" s="30"/>
      <c r="F407" s="30"/>
      <c r="G407" s="30"/>
      <c r="H407" s="30"/>
    </row>
    <row r="408" spans="2:8" ht="15.9" customHeight="1" x14ac:dyDescent="0.3">
      <c r="B408" s="43" t="s">
        <v>283</v>
      </c>
      <c r="C408" s="30"/>
      <c r="D408" s="30"/>
      <c r="E408" s="30"/>
      <c r="F408" s="30"/>
      <c r="G408" s="30"/>
      <c r="H408" s="30"/>
    </row>
    <row r="409" spans="2:8" ht="18" customHeight="1" x14ac:dyDescent="0.3">
      <c r="B409" s="27" t="s">
        <v>294</v>
      </c>
      <c r="C409" s="44" t="s">
        <v>308</v>
      </c>
      <c r="D409" s="30"/>
      <c r="E409" s="30"/>
      <c r="F409" s="30"/>
      <c r="G409" s="30"/>
      <c r="H409" s="30"/>
    </row>
    <row r="410" spans="2:8" ht="18" customHeight="1" x14ac:dyDescent="0.3">
      <c r="B410" s="27" t="s">
        <v>295</v>
      </c>
      <c r="C410" s="44" t="s">
        <v>309</v>
      </c>
      <c r="D410" s="30"/>
      <c r="E410" s="30"/>
      <c r="F410" s="30"/>
      <c r="G410" s="30"/>
      <c r="H410" s="30"/>
    </row>
    <row r="411" spans="2:8" ht="18" customHeight="1" x14ac:dyDescent="0.3">
      <c r="B411" s="27" t="s">
        <v>296</v>
      </c>
      <c r="C411" s="44" t="s">
        <v>310</v>
      </c>
      <c r="D411" s="30"/>
      <c r="E411" s="30"/>
      <c r="F411" s="30"/>
      <c r="G411" s="30"/>
      <c r="H411" s="30"/>
    </row>
    <row r="412" spans="2:8" ht="15.9" customHeight="1" x14ac:dyDescent="0.3">
      <c r="B412" s="43" t="s">
        <v>284</v>
      </c>
      <c r="C412" s="30"/>
      <c r="D412" s="30"/>
      <c r="E412" s="30"/>
      <c r="F412" s="30"/>
      <c r="G412" s="30"/>
      <c r="H412" s="30"/>
    </row>
    <row r="413" spans="2:8" ht="18" customHeight="1" x14ac:dyDescent="0.3">
      <c r="B413" s="27" t="s">
        <v>297</v>
      </c>
      <c r="C413" s="44" t="s">
        <v>442</v>
      </c>
      <c r="D413" s="30"/>
      <c r="E413" s="30"/>
      <c r="F413" s="30"/>
      <c r="G413" s="30"/>
      <c r="H413" s="30"/>
    </row>
    <row r="414" spans="2:8" ht="18" customHeight="1" x14ac:dyDescent="0.3">
      <c r="B414" s="27" t="s">
        <v>298</v>
      </c>
      <c r="C414" s="44" t="s">
        <v>443</v>
      </c>
      <c r="D414" s="30"/>
      <c r="E414" s="30"/>
      <c r="F414" s="30"/>
      <c r="G414" s="30"/>
      <c r="H414" s="30"/>
    </row>
    <row r="415" spans="2:8" ht="42.9" customHeight="1" x14ac:dyDescent="0.3">
      <c r="B415" s="27" t="s">
        <v>299</v>
      </c>
      <c r="C415" s="44" t="s">
        <v>444</v>
      </c>
      <c r="D415" s="30"/>
      <c r="E415" s="30"/>
      <c r="F415" s="30"/>
      <c r="G415" s="30"/>
      <c r="H415" s="30"/>
    </row>
    <row r="416" spans="2:8" ht="30.9" customHeight="1" x14ac:dyDescent="0.3">
      <c r="B416" s="27" t="s">
        <v>300</v>
      </c>
      <c r="C416" s="44" t="s">
        <v>445</v>
      </c>
      <c r="D416" s="30"/>
      <c r="E416" s="30"/>
      <c r="F416" s="30"/>
      <c r="G416" s="30"/>
      <c r="H416" s="30"/>
    </row>
    <row r="417" spans="1:8" ht="30.9" customHeight="1" x14ac:dyDescent="0.3">
      <c r="B417" s="27" t="s">
        <v>301</v>
      </c>
      <c r="C417" s="44" t="s">
        <v>446</v>
      </c>
      <c r="D417" s="30"/>
      <c r="E417" s="30"/>
      <c r="F417" s="30"/>
      <c r="G417" s="30"/>
      <c r="H417" s="30"/>
    </row>
    <row r="418" spans="1:8" ht="15.9" customHeight="1" x14ac:dyDescent="0.3">
      <c r="B418" s="43" t="s">
        <v>285</v>
      </c>
      <c r="C418" s="30"/>
      <c r="D418" s="30"/>
      <c r="E418" s="30"/>
      <c r="F418" s="30"/>
      <c r="G418" s="30"/>
      <c r="H418" s="30"/>
    </row>
    <row r="419" spans="1:8" ht="18" customHeight="1" x14ac:dyDescent="0.3">
      <c r="B419" s="27" t="s">
        <v>302</v>
      </c>
      <c r="C419" s="44" t="s">
        <v>428</v>
      </c>
      <c r="D419" s="30"/>
      <c r="E419" s="30"/>
      <c r="F419" s="30"/>
      <c r="G419" s="30"/>
      <c r="H419" s="30"/>
    </row>
    <row r="420" spans="1:8" ht="18" customHeight="1" x14ac:dyDescent="0.3">
      <c r="B420" s="27" t="s">
        <v>303</v>
      </c>
      <c r="C420" s="44" t="s">
        <v>447</v>
      </c>
      <c r="D420" s="30"/>
      <c r="E420" s="30"/>
      <c r="F420" s="30"/>
      <c r="G420" s="30"/>
      <c r="H420" s="30"/>
    </row>
    <row r="421" spans="1:8" ht="18" customHeight="1" x14ac:dyDescent="0.3">
      <c r="B421" s="27" t="s">
        <v>304</v>
      </c>
      <c r="C421" s="44" t="s">
        <v>1095</v>
      </c>
      <c r="D421" s="30"/>
      <c r="E421" s="30"/>
      <c r="F421" s="30"/>
      <c r="G421" s="30"/>
      <c r="H421" s="30"/>
    </row>
    <row r="424" spans="1:8" ht="21.9" customHeight="1" x14ac:dyDescent="0.3">
      <c r="A424" s="45" t="s">
        <v>1109</v>
      </c>
      <c r="B424" s="30"/>
      <c r="C424" s="30"/>
      <c r="D424" s="30"/>
      <c r="E424" s="30"/>
      <c r="F424" s="30"/>
      <c r="G424" s="30"/>
      <c r="H424" s="30"/>
    </row>
    <row r="426" spans="1:8" ht="15.9" customHeight="1" x14ac:dyDescent="0.3">
      <c r="B426" s="43" t="s">
        <v>3</v>
      </c>
      <c r="C426" s="30"/>
      <c r="D426" s="30"/>
      <c r="E426" s="30"/>
      <c r="F426" s="30"/>
      <c r="G426" s="30"/>
      <c r="H426" s="30"/>
    </row>
    <row r="427" spans="1:8" ht="18" customHeight="1" x14ac:dyDescent="0.3">
      <c r="B427" s="27" t="s">
        <v>286</v>
      </c>
      <c r="C427" s="44" t="s">
        <v>447</v>
      </c>
      <c r="D427" s="30"/>
      <c r="E427" s="30"/>
      <c r="F427" s="30"/>
      <c r="G427" s="30"/>
      <c r="H427" s="30"/>
    </row>
    <row r="428" spans="1:8" ht="18" customHeight="1" x14ac:dyDescent="0.3">
      <c r="B428" s="27" t="s">
        <v>287</v>
      </c>
      <c r="C428" s="44" t="s">
        <v>448</v>
      </c>
      <c r="D428" s="30"/>
      <c r="E428" s="30"/>
      <c r="F428" s="30"/>
      <c r="G428" s="30"/>
      <c r="H428" s="30"/>
    </row>
    <row r="429" spans="1:8" ht="18" customHeight="1" x14ac:dyDescent="0.3">
      <c r="B429" s="27" t="s">
        <v>288</v>
      </c>
      <c r="C429" s="44" t="s">
        <v>169</v>
      </c>
      <c r="D429" s="30"/>
      <c r="E429" s="30"/>
      <c r="F429" s="30"/>
      <c r="G429" s="30"/>
      <c r="H429" s="30"/>
    </row>
    <row r="430" spans="1:8" ht="18" customHeight="1" x14ac:dyDescent="0.3">
      <c r="B430" s="27" t="s">
        <v>289</v>
      </c>
      <c r="C430" s="44" t="s">
        <v>1093</v>
      </c>
      <c r="D430" s="30"/>
      <c r="E430" s="30"/>
      <c r="F430" s="30"/>
      <c r="G430" s="30"/>
      <c r="H430" s="30"/>
    </row>
    <row r="431" spans="1:8" ht="18" customHeight="1" x14ac:dyDescent="0.3">
      <c r="B431" s="27" t="s">
        <v>290</v>
      </c>
      <c r="C431" s="44" t="s">
        <v>166</v>
      </c>
      <c r="D431" s="30"/>
      <c r="E431" s="30"/>
      <c r="F431" s="30"/>
      <c r="G431" s="30"/>
      <c r="H431" s="30"/>
    </row>
    <row r="432" spans="1:8" ht="15.9" customHeight="1" x14ac:dyDescent="0.3">
      <c r="B432" s="43" t="s">
        <v>282</v>
      </c>
      <c r="C432" s="30"/>
      <c r="D432" s="30"/>
      <c r="E432" s="30"/>
      <c r="F432" s="30"/>
      <c r="G432" s="30"/>
      <c r="H432" s="30"/>
    </row>
    <row r="433" spans="2:8" ht="30.9" customHeight="1" x14ac:dyDescent="0.3">
      <c r="B433" s="27" t="s">
        <v>291</v>
      </c>
      <c r="C433" s="44" t="s">
        <v>449</v>
      </c>
      <c r="D433" s="30"/>
      <c r="E433" s="30"/>
      <c r="F433" s="30"/>
      <c r="G433" s="30"/>
      <c r="H433" s="30"/>
    </row>
    <row r="434" spans="2:8" ht="18" customHeight="1" x14ac:dyDescent="0.3">
      <c r="B434" s="27" t="s">
        <v>292</v>
      </c>
      <c r="C434" s="44" t="s">
        <v>389</v>
      </c>
      <c r="D434" s="30"/>
      <c r="E434" s="30"/>
      <c r="F434" s="30"/>
      <c r="G434" s="30"/>
      <c r="H434" s="30"/>
    </row>
    <row r="435" spans="2:8" ht="30.9" customHeight="1" x14ac:dyDescent="0.3">
      <c r="B435" s="27" t="s">
        <v>293</v>
      </c>
      <c r="C435" s="44" t="s">
        <v>450</v>
      </c>
      <c r="D435" s="30"/>
      <c r="E435" s="30"/>
      <c r="F435" s="30"/>
      <c r="G435" s="30"/>
      <c r="H435" s="30"/>
    </row>
    <row r="436" spans="2:8" ht="15.9" customHeight="1" x14ac:dyDescent="0.3">
      <c r="B436" s="43" t="s">
        <v>283</v>
      </c>
      <c r="C436" s="30"/>
      <c r="D436" s="30"/>
      <c r="E436" s="30"/>
      <c r="F436" s="30"/>
      <c r="G436" s="30"/>
      <c r="H436" s="30"/>
    </row>
    <row r="437" spans="2:8" ht="18" customHeight="1" x14ac:dyDescent="0.3">
      <c r="B437" s="27" t="s">
        <v>294</v>
      </c>
      <c r="C437" s="44" t="s">
        <v>308</v>
      </c>
      <c r="D437" s="30"/>
      <c r="E437" s="30"/>
      <c r="F437" s="30"/>
      <c r="G437" s="30"/>
      <c r="H437" s="30"/>
    </row>
    <row r="438" spans="2:8" ht="18" customHeight="1" x14ac:dyDescent="0.3">
      <c r="B438" s="27" t="s">
        <v>295</v>
      </c>
      <c r="C438" s="44" t="s">
        <v>309</v>
      </c>
      <c r="D438" s="30"/>
      <c r="E438" s="30"/>
      <c r="F438" s="30"/>
      <c r="G438" s="30"/>
      <c r="H438" s="30"/>
    </row>
    <row r="439" spans="2:8" ht="18" customHeight="1" x14ac:dyDescent="0.3">
      <c r="B439" s="27" t="s">
        <v>296</v>
      </c>
      <c r="C439" s="44" t="s">
        <v>310</v>
      </c>
      <c r="D439" s="30"/>
      <c r="E439" s="30"/>
      <c r="F439" s="30"/>
      <c r="G439" s="30"/>
      <c r="H439" s="30"/>
    </row>
    <row r="440" spans="2:8" ht="15.9" customHeight="1" x14ac:dyDescent="0.3">
      <c r="B440" s="43" t="s">
        <v>284</v>
      </c>
      <c r="C440" s="30"/>
      <c r="D440" s="30"/>
      <c r="E440" s="30"/>
      <c r="F440" s="30"/>
      <c r="G440" s="30"/>
      <c r="H440" s="30"/>
    </row>
    <row r="441" spans="2:8" ht="18" customHeight="1" x14ac:dyDescent="0.3">
      <c r="B441" s="27" t="s">
        <v>297</v>
      </c>
      <c r="C441" s="44" t="s">
        <v>451</v>
      </c>
      <c r="D441" s="30"/>
      <c r="E441" s="30"/>
      <c r="F441" s="30"/>
      <c r="G441" s="30"/>
      <c r="H441" s="30"/>
    </row>
    <row r="442" spans="2:8" ht="18" customHeight="1" x14ac:dyDescent="0.3">
      <c r="B442" s="27" t="s">
        <v>298</v>
      </c>
      <c r="C442" s="44" t="s">
        <v>452</v>
      </c>
      <c r="D442" s="30"/>
      <c r="E442" s="30"/>
      <c r="F442" s="30"/>
      <c r="G442" s="30"/>
      <c r="H442" s="30"/>
    </row>
    <row r="443" spans="2:8" ht="42.9" customHeight="1" x14ac:dyDescent="0.3">
      <c r="B443" s="27" t="s">
        <v>299</v>
      </c>
      <c r="C443" s="44" t="s">
        <v>453</v>
      </c>
      <c r="D443" s="30"/>
      <c r="E443" s="30"/>
      <c r="F443" s="30"/>
      <c r="G443" s="30"/>
      <c r="H443" s="30"/>
    </row>
    <row r="444" spans="2:8" ht="30.9" customHeight="1" x14ac:dyDescent="0.3">
      <c r="B444" s="27" t="s">
        <v>300</v>
      </c>
      <c r="C444" s="44" t="s">
        <v>454</v>
      </c>
      <c r="D444" s="30"/>
      <c r="E444" s="30"/>
      <c r="F444" s="30"/>
      <c r="G444" s="30"/>
      <c r="H444" s="30"/>
    </row>
    <row r="445" spans="2:8" ht="30.9" customHeight="1" x14ac:dyDescent="0.3">
      <c r="B445" s="27" t="s">
        <v>301</v>
      </c>
      <c r="C445" s="44" t="s">
        <v>455</v>
      </c>
      <c r="D445" s="30"/>
      <c r="E445" s="30"/>
      <c r="F445" s="30"/>
      <c r="G445" s="30"/>
      <c r="H445" s="30"/>
    </row>
    <row r="446" spans="2:8" ht="15.9" customHeight="1" x14ac:dyDescent="0.3">
      <c r="B446" s="43" t="s">
        <v>285</v>
      </c>
      <c r="C446" s="30"/>
      <c r="D446" s="30"/>
      <c r="E446" s="30"/>
      <c r="F446" s="30"/>
      <c r="G446" s="30"/>
      <c r="H446" s="30"/>
    </row>
    <row r="447" spans="2:8" ht="18" customHeight="1" x14ac:dyDescent="0.3">
      <c r="B447" s="27" t="s">
        <v>302</v>
      </c>
      <c r="C447" s="44" t="s">
        <v>437</v>
      </c>
      <c r="D447" s="30"/>
      <c r="E447" s="30"/>
      <c r="F447" s="30"/>
      <c r="G447" s="30"/>
      <c r="H447" s="30"/>
    </row>
    <row r="448" spans="2:8" ht="18" customHeight="1" x14ac:dyDescent="0.3">
      <c r="B448" s="27" t="s">
        <v>303</v>
      </c>
      <c r="C448" s="44" t="s">
        <v>456</v>
      </c>
      <c r="D448" s="30"/>
      <c r="E448" s="30"/>
      <c r="F448" s="30"/>
      <c r="G448" s="30"/>
      <c r="H448" s="30"/>
    </row>
    <row r="449" spans="1:8" ht="18" customHeight="1" x14ac:dyDescent="0.3">
      <c r="B449" s="27" t="s">
        <v>304</v>
      </c>
      <c r="C449" s="44" t="s">
        <v>457</v>
      </c>
      <c r="D449" s="30"/>
      <c r="E449" s="30"/>
      <c r="F449" s="30"/>
      <c r="G449" s="30"/>
      <c r="H449" s="30"/>
    </row>
    <row r="452" spans="1:8" ht="21.9" customHeight="1" x14ac:dyDescent="0.3">
      <c r="A452" s="45" t="s">
        <v>1110</v>
      </c>
      <c r="B452" s="30"/>
      <c r="C452" s="30"/>
      <c r="D452" s="30"/>
      <c r="E452" s="30"/>
      <c r="F452" s="30"/>
      <c r="G452" s="30"/>
      <c r="H452" s="30"/>
    </row>
    <row r="454" spans="1:8" ht="15.9" customHeight="1" x14ac:dyDescent="0.3">
      <c r="B454" s="43" t="s">
        <v>3</v>
      </c>
      <c r="C454" s="30"/>
      <c r="D454" s="30"/>
      <c r="E454" s="30"/>
      <c r="F454" s="30"/>
      <c r="G454" s="30"/>
      <c r="H454" s="30"/>
    </row>
    <row r="455" spans="1:8" ht="18" customHeight="1" x14ac:dyDescent="0.3">
      <c r="B455" s="27" t="s">
        <v>286</v>
      </c>
      <c r="C455" s="44" t="s">
        <v>456</v>
      </c>
      <c r="D455" s="30"/>
      <c r="E455" s="30"/>
      <c r="F455" s="30"/>
      <c r="G455" s="30"/>
      <c r="H455" s="30"/>
    </row>
    <row r="456" spans="1:8" ht="18" customHeight="1" x14ac:dyDescent="0.3">
      <c r="B456" s="27" t="s">
        <v>287</v>
      </c>
      <c r="C456" s="44" t="s">
        <v>458</v>
      </c>
      <c r="D456" s="30"/>
      <c r="E456" s="30"/>
      <c r="F456" s="30"/>
      <c r="G456" s="30"/>
      <c r="H456" s="30"/>
    </row>
    <row r="457" spans="1:8" ht="18" customHeight="1" x14ac:dyDescent="0.3">
      <c r="B457" s="27" t="s">
        <v>288</v>
      </c>
      <c r="C457" s="44" t="s">
        <v>169</v>
      </c>
      <c r="D457" s="30"/>
      <c r="E457" s="30"/>
      <c r="F457" s="30"/>
      <c r="G457" s="30"/>
      <c r="H457" s="30"/>
    </row>
    <row r="458" spans="1:8" ht="18" customHeight="1" x14ac:dyDescent="0.3">
      <c r="B458" s="27" t="s">
        <v>289</v>
      </c>
      <c r="C458" s="44" t="s">
        <v>1093</v>
      </c>
      <c r="D458" s="30"/>
      <c r="E458" s="30"/>
      <c r="F458" s="30"/>
      <c r="G458" s="30"/>
      <c r="H458" s="30"/>
    </row>
    <row r="459" spans="1:8" ht="18" customHeight="1" x14ac:dyDescent="0.3">
      <c r="B459" s="27" t="s">
        <v>290</v>
      </c>
      <c r="C459" s="44" t="s">
        <v>166</v>
      </c>
      <c r="D459" s="30"/>
      <c r="E459" s="30"/>
      <c r="F459" s="30"/>
      <c r="G459" s="30"/>
      <c r="H459" s="30"/>
    </row>
    <row r="460" spans="1:8" ht="15.9" customHeight="1" x14ac:dyDescent="0.3">
      <c r="B460" s="43" t="s">
        <v>282</v>
      </c>
      <c r="C460" s="30"/>
      <c r="D460" s="30"/>
      <c r="E460" s="30"/>
      <c r="F460" s="30"/>
      <c r="G460" s="30"/>
      <c r="H460" s="30"/>
    </row>
    <row r="461" spans="1:8" ht="30.9" customHeight="1" x14ac:dyDescent="0.3">
      <c r="B461" s="27" t="s">
        <v>291</v>
      </c>
      <c r="C461" s="44" t="s">
        <v>459</v>
      </c>
      <c r="D461" s="30"/>
      <c r="E461" s="30"/>
      <c r="F461" s="30"/>
      <c r="G461" s="30"/>
      <c r="H461" s="30"/>
    </row>
    <row r="462" spans="1:8" ht="18" customHeight="1" x14ac:dyDescent="0.3">
      <c r="B462" s="27" t="s">
        <v>292</v>
      </c>
      <c r="C462" s="44" t="s">
        <v>460</v>
      </c>
      <c r="D462" s="30"/>
      <c r="E462" s="30"/>
      <c r="F462" s="30"/>
      <c r="G462" s="30"/>
      <c r="H462" s="30"/>
    </row>
    <row r="463" spans="1:8" ht="30.9" customHeight="1" x14ac:dyDescent="0.3">
      <c r="B463" s="27" t="s">
        <v>293</v>
      </c>
      <c r="C463" s="44" t="s">
        <v>461</v>
      </c>
      <c r="D463" s="30"/>
      <c r="E463" s="30"/>
      <c r="F463" s="30"/>
      <c r="G463" s="30"/>
      <c r="H463" s="30"/>
    </row>
    <row r="464" spans="1:8" ht="15.9" customHeight="1" x14ac:dyDescent="0.3">
      <c r="B464" s="43" t="s">
        <v>283</v>
      </c>
      <c r="C464" s="30"/>
      <c r="D464" s="30"/>
      <c r="E464" s="30"/>
      <c r="F464" s="30"/>
      <c r="G464" s="30"/>
      <c r="H464" s="30"/>
    </row>
    <row r="465" spans="1:8" ht="18" customHeight="1" x14ac:dyDescent="0.3">
      <c r="B465" s="27" t="s">
        <v>294</v>
      </c>
      <c r="C465" s="44" t="s">
        <v>347</v>
      </c>
      <c r="D465" s="30"/>
      <c r="E465" s="30"/>
      <c r="F465" s="30"/>
      <c r="G465" s="30"/>
      <c r="H465" s="30"/>
    </row>
    <row r="466" spans="1:8" ht="18" customHeight="1" x14ac:dyDescent="0.3">
      <c r="B466" s="27" t="s">
        <v>295</v>
      </c>
      <c r="C466" s="44" t="s">
        <v>348</v>
      </c>
      <c r="D466" s="30"/>
      <c r="E466" s="30"/>
      <c r="F466" s="30"/>
      <c r="G466" s="30"/>
      <c r="H466" s="30"/>
    </row>
    <row r="467" spans="1:8" ht="18" customHeight="1" x14ac:dyDescent="0.3">
      <c r="B467" s="27" t="s">
        <v>296</v>
      </c>
      <c r="C467" s="44" t="s">
        <v>310</v>
      </c>
      <c r="D467" s="30"/>
      <c r="E467" s="30"/>
      <c r="F467" s="30"/>
      <c r="G467" s="30"/>
      <c r="H467" s="30"/>
    </row>
    <row r="468" spans="1:8" ht="15.9" customHeight="1" x14ac:dyDescent="0.3">
      <c r="B468" s="43" t="s">
        <v>284</v>
      </c>
      <c r="C468" s="30"/>
      <c r="D468" s="30"/>
      <c r="E468" s="30"/>
      <c r="F468" s="30"/>
      <c r="G468" s="30"/>
      <c r="H468" s="30"/>
    </row>
    <row r="469" spans="1:8" ht="18" customHeight="1" x14ac:dyDescent="0.3">
      <c r="B469" s="27" t="s">
        <v>297</v>
      </c>
      <c r="C469" s="44" t="s">
        <v>462</v>
      </c>
      <c r="D469" s="30"/>
      <c r="E469" s="30"/>
      <c r="F469" s="30"/>
      <c r="G469" s="30"/>
      <c r="H469" s="30"/>
    </row>
    <row r="470" spans="1:8" ht="18" customHeight="1" x14ac:dyDescent="0.3">
      <c r="B470" s="27" t="s">
        <v>298</v>
      </c>
      <c r="C470" s="44" t="s">
        <v>463</v>
      </c>
      <c r="D470" s="30"/>
      <c r="E470" s="30"/>
      <c r="F470" s="30"/>
      <c r="G470" s="30"/>
      <c r="H470" s="30"/>
    </row>
    <row r="471" spans="1:8" ht="42.9" customHeight="1" x14ac:dyDescent="0.3">
      <c r="B471" s="27" t="s">
        <v>299</v>
      </c>
      <c r="C471" s="44" t="s">
        <v>464</v>
      </c>
      <c r="D471" s="30"/>
      <c r="E471" s="30"/>
      <c r="F471" s="30"/>
      <c r="G471" s="30"/>
      <c r="H471" s="30"/>
    </row>
    <row r="472" spans="1:8" ht="18" customHeight="1" x14ac:dyDescent="0.3">
      <c r="B472" s="27" t="s">
        <v>300</v>
      </c>
      <c r="C472" s="44" t="s">
        <v>465</v>
      </c>
      <c r="D472" s="30"/>
      <c r="E472" s="30"/>
      <c r="F472" s="30"/>
      <c r="G472" s="30"/>
      <c r="H472" s="30"/>
    </row>
    <row r="473" spans="1:8" ht="30.9" customHeight="1" x14ac:dyDescent="0.3">
      <c r="B473" s="27" t="s">
        <v>301</v>
      </c>
      <c r="C473" s="44" t="s">
        <v>466</v>
      </c>
      <c r="D473" s="30"/>
      <c r="E473" s="30"/>
      <c r="F473" s="30"/>
      <c r="G473" s="30"/>
      <c r="H473" s="30"/>
    </row>
    <row r="474" spans="1:8" ht="15.9" customHeight="1" x14ac:dyDescent="0.3">
      <c r="B474" s="43" t="s">
        <v>285</v>
      </c>
      <c r="C474" s="30"/>
      <c r="D474" s="30"/>
      <c r="E474" s="30"/>
      <c r="F474" s="30"/>
      <c r="G474" s="30"/>
      <c r="H474" s="30"/>
    </row>
    <row r="475" spans="1:8" ht="18" customHeight="1" x14ac:dyDescent="0.3">
      <c r="B475" s="27" t="s">
        <v>302</v>
      </c>
      <c r="C475" s="44" t="s">
        <v>447</v>
      </c>
      <c r="D475" s="30"/>
      <c r="E475" s="30"/>
      <c r="F475" s="30"/>
      <c r="G475" s="30"/>
      <c r="H475" s="30"/>
    </row>
    <row r="476" spans="1:8" ht="18" customHeight="1" x14ac:dyDescent="0.3">
      <c r="B476" s="27" t="s">
        <v>303</v>
      </c>
      <c r="C476" s="44" t="s">
        <v>354</v>
      </c>
      <c r="D476" s="30"/>
      <c r="E476" s="30"/>
      <c r="F476" s="30"/>
      <c r="G476" s="30"/>
      <c r="H476" s="30"/>
    </row>
    <row r="477" spans="1:8" ht="18" customHeight="1" x14ac:dyDescent="0.3">
      <c r="B477" s="27" t="s">
        <v>304</v>
      </c>
      <c r="C477" s="44" t="s">
        <v>1095</v>
      </c>
      <c r="D477" s="30"/>
      <c r="E477" s="30"/>
      <c r="F477" s="30"/>
      <c r="G477" s="30"/>
      <c r="H477" s="30"/>
    </row>
    <row r="480" spans="1:8" ht="21.9" customHeight="1" x14ac:dyDescent="0.3">
      <c r="A480" s="45" t="s">
        <v>1111</v>
      </c>
      <c r="B480" s="30"/>
      <c r="C480" s="30"/>
      <c r="D480" s="30"/>
      <c r="E480" s="30"/>
      <c r="F480" s="30"/>
      <c r="G480" s="30"/>
      <c r="H480" s="30"/>
    </row>
    <row r="482" spans="2:8" ht="15.9" customHeight="1" x14ac:dyDescent="0.3">
      <c r="B482" s="43" t="s">
        <v>3</v>
      </c>
      <c r="C482" s="30"/>
      <c r="D482" s="30"/>
      <c r="E482" s="30"/>
      <c r="F482" s="30"/>
      <c r="G482" s="30"/>
      <c r="H482" s="30"/>
    </row>
    <row r="483" spans="2:8" ht="18" customHeight="1" x14ac:dyDescent="0.3">
      <c r="B483" s="27" t="s">
        <v>286</v>
      </c>
      <c r="C483" s="44" t="s">
        <v>467</v>
      </c>
      <c r="D483" s="30"/>
      <c r="E483" s="30"/>
      <c r="F483" s="30"/>
      <c r="G483" s="30"/>
      <c r="H483" s="30"/>
    </row>
    <row r="484" spans="2:8" ht="18" customHeight="1" x14ac:dyDescent="0.3">
      <c r="B484" s="27" t="s">
        <v>287</v>
      </c>
      <c r="C484" s="44" t="s">
        <v>468</v>
      </c>
      <c r="D484" s="30"/>
      <c r="E484" s="30"/>
      <c r="F484" s="30"/>
      <c r="G484" s="30"/>
      <c r="H484" s="30"/>
    </row>
    <row r="485" spans="2:8" ht="18" customHeight="1" x14ac:dyDescent="0.3">
      <c r="B485" s="27" t="s">
        <v>288</v>
      </c>
      <c r="C485" s="44" t="s">
        <v>169</v>
      </c>
      <c r="D485" s="30"/>
      <c r="E485" s="30"/>
      <c r="F485" s="30"/>
      <c r="G485" s="30"/>
      <c r="H485" s="30"/>
    </row>
    <row r="486" spans="2:8" ht="18" customHeight="1" x14ac:dyDescent="0.3">
      <c r="B486" s="27" t="s">
        <v>289</v>
      </c>
      <c r="C486" s="44" t="s">
        <v>1093</v>
      </c>
      <c r="D486" s="30"/>
      <c r="E486" s="30"/>
      <c r="F486" s="30"/>
      <c r="G486" s="30"/>
      <c r="H486" s="30"/>
    </row>
    <row r="487" spans="2:8" ht="18" customHeight="1" x14ac:dyDescent="0.3">
      <c r="B487" s="27" t="s">
        <v>290</v>
      </c>
      <c r="C487" s="44" t="s">
        <v>166</v>
      </c>
      <c r="D487" s="30"/>
      <c r="E487" s="30"/>
      <c r="F487" s="30"/>
      <c r="G487" s="30"/>
      <c r="H487" s="30"/>
    </row>
    <row r="488" spans="2:8" ht="15.9" customHeight="1" x14ac:dyDescent="0.3">
      <c r="B488" s="43" t="s">
        <v>282</v>
      </c>
      <c r="C488" s="30"/>
      <c r="D488" s="30"/>
      <c r="E488" s="30"/>
      <c r="F488" s="30"/>
      <c r="G488" s="30"/>
      <c r="H488" s="30"/>
    </row>
    <row r="489" spans="2:8" ht="18" customHeight="1" x14ac:dyDescent="0.3">
      <c r="B489" s="27" t="s">
        <v>291</v>
      </c>
      <c r="C489" s="44" t="s">
        <v>469</v>
      </c>
      <c r="D489" s="30"/>
      <c r="E489" s="30"/>
      <c r="F489" s="30"/>
      <c r="G489" s="30"/>
      <c r="H489" s="30"/>
    </row>
    <row r="490" spans="2:8" ht="18" customHeight="1" x14ac:dyDescent="0.3">
      <c r="B490" s="27" t="s">
        <v>292</v>
      </c>
      <c r="C490" s="44" t="s">
        <v>460</v>
      </c>
      <c r="D490" s="30"/>
      <c r="E490" s="30"/>
      <c r="F490" s="30"/>
      <c r="G490" s="30"/>
      <c r="H490" s="30"/>
    </row>
    <row r="491" spans="2:8" ht="30.9" customHeight="1" x14ac:dyDescent="0.3">
      <c r="B491" s="27" t="s">
        <v>293</v>
      </c>
      <c r="C491" s="44" t="s">
        <v>470</v>
      </c>
      <c r="D491" s="30"/>
      <c r="E491" s="30"/>
      <c r="F491" s="30"/>
      <c r="G491" s="30"/>
      <c r="H491" s="30"/>
    </row>
    <row r="492" spans="2:8" ht="15.9" customHeight="1" x14ac:dyDescent="0.3">
      <c r="B492" s="43" t="s">
        <v>283</v>
      </c>
      <c r="C492" s="30"/>
      <c r="D492" s="30"/>
      <c r="E492" s="30"/>
      <c r="F492" s="30"/>
      <c r="G492" s="30"/>
      <c r="H492" s="30"/>
    </row>
    <row r="493" spans="2:8" ht="18" customHeight="1" x14ac:dyDescent="0.3">
      <c r="B493" s="27" t="s">
        <v>294</v>
      </c>
      <c r="C493" s="44" t="s">
        <v>308</v>
      </c>
      <c r="D493" s="30"/>
      <c r="E493" s="30"/>
      <c r="F493" s="30"/>
      <c r="G493" s="30"/>
      <c r="H493" s="30"/>
    </row>
    <row r="494" spans="2:8" ht="18" customHeight="1" x14ac:dyDescent="0.3">
      <c r="B494" s="27" t="s">
        <v>295</v>
      </c>
      <c r="C494" s="44" t="s">
        <v>309</v>
      </c>
      <c r="D494" s="30"/>
      <c r="E494" s="30"/>
      <c r="F494" s="30"/>
      <c r="G494" s="30"/>
      <c r="H494" s="30"/>
    </row>
    <row r="495" spans="2:8" ht="18" customHeight="1" x14ac:dyDescent="0.3">
      <c r="B495" s="27" t="s">
        <v>296</v>
      </c>
      <c r="C495" s="44" t="s">
        <v>310</v>
      </c>
      <c r="D495" s="30"/>
      <c r="E495" s="30"/>
      <c r="F495" s="30"/>
      <c r="G495" s="30"/>
      <c r="H495" s="30"/>
    </row>
    <row r="496" spans="2:8" ht="15.9" customHeight="1" x14ac:dyDescent="0.3">
      <c r="B496" s="43" t="s">
        <v>284</v>
      </c>
      <c r="C496" s="30"/>
      <c r="D496" s="30"/>
      <c r="E496" s="30"/>
      <c r="F496" s="30"/>
      <c r="G496" s="30"/>
      <c r="H496" s="30"/>
    </row>
    <row r="497" spans="1:8" ht="18" customHeight="1" x14ac:dyDescent="0.3">
      <c r="B497" s="27" t="s">
        <v>297</v>
      </c>
      <c r="C497" s="44" t="s">
        <v>471</v>
      </c>
      <c r="D497" s="30"/>
      <c r="E497" s="30"/>
      <c r="F497" s="30"/>
      <c r="G497" s="30"/>
      <c r="H497" s="30"/>
    </row>
    <row r="498" spans="1:8" ht="18" customHeight="1" x14ac:dyDescent="0.3">
      <c r="B498" s="27" t="s">
        <v>298</v>
      </c>
      <c r="C498" s="44" t="s">
        <v>472</v>
      </c>
      <c r="D498" s="30"/>
      <c r="E498" s="30"/>
      <c r="F498" s="30"/>
      <c r="G498" s="30"/>
      <c r="H498" s="30"/>
    </row>
    <row r="499" spans="1:8" ht="42.9" customHeight="1" x14ac:dyDescent="0.3">
      <c r="B499" s="27" t="s">
        <v>299</v>
      </c>
      <c r="C499" s="44" t="s">
        <v>473</v>
      </c>
      <c r="D499" s="30"/>
      <c r="E499" s="30"/>
      <c r="F499" s="30"/>
      <c r="G499" s="30"/>
      <c r="H499" s="30"/>
    </row>
    <row r="500" spans="1:8" ht="18" customHeight="1" x14ac:dyDescent="0.3">
      <c r="B500" s="27" t="s">
        <v>300</v>
      </c>
      <c r="C500" s="44" t="s">
        <v>474</v>
      </c>
      <c r="D500" s="30"/>
      <c r="E500" s="30"/>
      <c r="F500" s="30"/>
      <c r="G500" s="30"/>
      <c r="H500" s="30"/>
    </row>
    <row r="501" spans="1:8" ht="30.9" customHeight="1" x14ac:dyDescent="0.3">
      <c r="B501" s="27" t="s">
        <v>301</v>
      </c>
      <c r="C501" s="44" t="s">
        <v>475</v>
      </c>
      <c r="D501" s="30"/>
      <c r="E501" s="30"/>
      <c r="F501" s="30"/>
      <c r="G501" s="30"/>
      <c r="H501" s="30"/>
    </row>
    <row r="502" spans="1:8" ht="15.9" customHeight="1" x14ac:dyDescent="0.3">
      <c r="B502" s="43" t="s">
        <v>285</v>
      </c>
      <c r="C502" s="30"/>
      <c r="D502" s="30"/>
      <c r="E502" s="30"/>
      <c r="F502" s="30"/>
      <c r="G502" s="30"/>
      <c r="H502" s="30"/>
    </row>
    <row r="503" spans="1:8" ht="18" customHeight="1" x14ac:dyDescent="0.3">
      <c r="B503" s="27" t="s">
        <v>302</v>
      </c>
      <c r="C503" s="44" t="s">
        <v>418</v>
      </c>
      <c r="D503" s="30"/>
      <c r="E503" s="30"/>
      <c r="F503" s="30"/>
      <c r="G503" s="30"/>
      <c r="H503" s="30"/>
    </row>
    <row r="504" spans="1:8" ht="18" customHeight="1" x14ac:dyDescent="0.3">
      <c r="B504" s="27" t="s">
        <v>303</v>
      </c>
      <c r="C504" s="44" t="s">
        <v>476</v>
      </c>
      <c r="D504" s="30"/>
      <c r="E504" s="30"/>
      <c r="F504" s="30"/>
      <c r="G504" s="30"/>
      <c r="H504" s="30"/>
    </row>
    <row r="505" spans="1:8" ht="18" customHeight="1" x14ac:dyDescent="0.3">
      <c r="B505" s="27" t="s">
        <v>304</v>
      </c>
      <c r="C505" s="44" t="s">
        <v>1095</v>
      </c>
      <c r="D505" s="30"/>
      <c r="E505" s="30"/>
      <c r="F505" s="30"/>
      <c r="G505" s="30"/>
      <c r="H505" s="30"/>
    </row>
    <row r="508" spans="1:8" ht="21.9" customHeight="1" x14ac:dyDescent="0.3">
      <c r="A508" s="45" t="s">
        <v>1112</v>
      </c>
      <c r="B508" s="30"/>
      <c r="C508" s="30"/>
      <c r="D508" s="30"/>
      <c r="E508" s="30"/>
      <c r="F508" s="30"/>
      <c r="G508" s="30"/>
      <c r="H508" s="30"/>
    </row>
    <row r="510" spans="1:8" ht="15.9" customHeight="1" x14ac:dyDescent="0.3">
      <c r="B510" s="43" t="s">
        <v>3</v>
      </c>
      <c r="C510" s="30"/>
      <c r="D510" s="30"/>
      <c r="E510" s="30"/>
      <c r="F510" s="30"/>
      <c r="G510" s="30"/>
      <c r="H510" s="30"/>
    </row>
    <row r="511" spans="1:8" ht="18" customHeight="1" x14ac:dyDescent="0.3">
      <c r="B511" s="27" t="s">
        <v>286</v>
      </c>
      <c r="C511" s="44" t="s">
        <v>477</v>
      </c>
      <c r="D511" s="30"/>
      <c r="E511" s="30"/>
      <c r="F511" s="30"/>
      <c r="G511" s="30"/>
      <c r="H511" s="30"/>
    </row>
    <row r="512" spans="1:8" ht="18" customHeight="1" x14ac:dyDescent="0.3">
      <c r="B512" s="27" t="s">
        <v>287</v>
      </c>
      <c r="C512" s="44" t="s">
        <v>478</v>
      </c>
      <c r="D512" s="30"/>
      <c r="E512" s="30"/>
      <c r="F512" s="30"/>
      <c r="G512" s="30"/>
      <c r="H512" s="30"/>
    </row>
    <row r="513" spans="2:8" ht="18" customHeight="1" x14ac:dyDescent="0.3">
      <c r="B513" s="27" t="s">
        <v>288</v>
      </c>
      <c r="C513" s="44" t="s">
        <v>169</v>
      </c>
      <c r="D513" s="30"/>
      <c r="E513" s="30"/>
      <c r="F513" s="30"/>
      <c r="G513" s="30"/>
      <c r="H513" s="30"/>
    </row>
    <row r="514" spans="2:8" ht="18" customHeight="1" x14ac:dyDescent="0.3">
      <c r="B514" s="27" t="s">
        <v>289</v>
      </c>
      <c r="C514" s="44" t="s">
        <v>1093</v>
      </c>
      <c r="D514" s="30"/>
      <c r="E514" s="30"/>
      <c r="F514" s="30"/>
      <c r="G514" s="30"/>
      <c r="H514" s="30"/>
    </row>
    <row r="515" spans="2:8" ht="18" customHeight="1" x14ac:dyDescent="0.3">
      <c r="B515" s="27" t="s">
        <v>290</v>
      </c>
      <c r="C515" s="44" t="s">
        <v>166</v>
      </c>
      <c r="D515" s="30"/>
      <c r="E515" s="30"/>
      <c r="F515" s="30"/>
      <c r="G515" s="30"/>
      <c r="H515" s="30"/>
    </row>
    <row r="516" spans="2:8" ht="15.9" customHeight="1" x14ac:dyDescent="0.3">
      <c r="B516" s="43" t="s">
        <v>282</v>
      </c>
      <c r="C516" s="30"/>
      <c r="D516" s="30"/>
      <c r="E516" s="30"/>
      <c r="F516" s="30"/>
      <c r="G516" s="30"/>
      <c r="H516" s="30"/>
    </row>
    <row r="517" spans="2:8" ht="30.9" customHeight="1" x14ac:dyDescent="0.3">
      <c r="B517" s="27" t="s">
        <v>291</v>
      </c>
      <c r="C517" s="44" t="s">
        <v>479</v>
      </c>
      <c r="D517" s="30"/>
      <c r="E517" s="30"/>
      <c r="F517" s="30"/>
      <c r="G517" s="30"/>
      <c r="H517" s="30"/>
    </row>
    <row r="518" spans="2:8" ht="18" customHeight="1" x14ac:dyDescent="0.3">
      <c r="B518" s="27" t="s">
        <v>292</v>
      </c>
      <c r="C518" s="44" t="s">
        <v>460</v>
      </c>
      <c r="D518" s="30"/>
      <c r="E518" s="30"/>
      <c r="F518" s="30"/>
      <c r="G518" s="30"/>
      <c r="H518" s="30"/>
    </row>
    <row r="519" spans="2:8" ht="18" customHeight="1" x14ac:dyDescent="0.3">
      <c r="B519" s="27" t="s">
        <v>293</v>
      </c>
      <c r="C519" s="44" t="s">
        <v>480</v>
      </c>
      <c r="D519" s="30"/>
      <c r="E519" s="30"/>
      <c r="F519" s="30"/>
      <c r="G519" s="30"/>
      <c r="H519" s="30"/>
    </row>
    <row r="520" spans="2:8" ht="15.9" customHeight="1" x14ac:dyDescent="0.3">
      <c r="B520" s="43" t="s">
        <v>283</v>
      </c>
      <c r="C520" s="30"/>
      <c r="D520" s="30"/>
      <c r="E520" s="30"/>
      <c r="F520" s="30"/>
      <c r="G520" s="30"/>
      <c r="H520" s="30"/>
    </row>
    <row r="521" spans="2:8" ht="18" customHeight="1" x14ac:dyDescent="0.3">
      <c r="B521" s="27" t="s">
        <v>294</v>
      </c>
      <c r="C521" s="44" t="s">
        <v>308</v>
      </c>
      <c r="D521" s="30"/>
      <c r="E521" s="30"/>
      <c r="F521" s="30"/>
      <c r="G521" s="30"/>
      <c r="H521" s="30"/>
    </row>
    <row r="522" spans="2:8" ht="18" customHeight="1" x14ac:dyDescent="0.3">
      <c r="B522" s="27" t="s">
        <v>295</v>
      </c>
      <c r="C522" s="44" t="s">
        <v>309</v>
      </c>
      <c r="D522" s="30"/>
      <c r="E522" s="30"/>
      <c r="F522" s="30"/>
      <c r="G522" s="30"/>
      <c r="H522" s="30"/>
    </row>
    <row r="523" spans="2:8" ht="18" customHeight="1" x14ac:dyDescent="0.3">
      <c r="B523" s="27" t="s">
        <v>296</v>
      </c>
      <c r="C523" s="44" t="s">
        <v>310</v>
      </c>
      <c r="D523" s="30"/>
      <c r="E523" s="30"/>
      <c r="F523" s="30"/>
      <c r="G523" s="30"/>
      <c r="H523" s="30"/>
    </row>
    <row r="524" spans="2:8" ht="15.9" customHeight="1" x14ac:dyDescent="0.3">
      <c r="B524" s="43" t="s">
        <v>284</v>
      </c>
      <c r="C524" s="30"/>
      <c r="D524" s="30"/>
      <c r="E524" s="30"/>
      <c r="F524" s="30"/>
      <c r="G524" s="30"/>
      <c r="H524" s="30"/>
    </row>
    <row r="525" spans="2:8" ht="18" customHeight="1" x14ac:dyDescent="0.3">
      <c r="B525" s="27" t="s">
        <v>297</v>
      </c>
      <c r="C525" s="44" t="s">
        <v>481</v>
      </c>
      <c r="D525" s="30"/>
      <c r="E525" s="30"/>
      <c r="F525" s="30"/>
      <c r="G525" s="30"/>
      <c r="H525" s="30"/>
    </row>
    <row r="526" spans="2:8" ht="18" customHeight="1" x14ac:dyDescent="0.3">
      <c r="B526" s="27" t="s">
        <v>298</v>
      </c>
      <c r="C526" s="44" t="s">
        <v>482</v>
      </c>
      <c r="D526" s="30"/>
      <c r="E526" s="30"/>
      <c r="F526" s="30"/>
      <c r="G526" s="30"/>
      <c r="H526" s="30"/>
    </row>
    <row r="527" spans="2:8" ht="42.9" customHeight="1" x14ac:dyDescent="0.3">
      <c r="B527" s="27" t="s">
        <v>299</v>
      </c>
      <c r="C527" s="44" t="s">
        <v>483</v>
      </c>
      <c r="D527" s="30"/>
      <c r="E527" s="30"/>
      <c r="F527" s="30"/>
      <c r="G527" s="30"/>
      <c r="H527" s="30"/>
    </row>
    <row r="528" spans="2:8" ht="18" customHeight="1" x14ac:dyDescent="0.3">
      <c r="B528" s="27" t="s">
        <v>300</v>
      </c>
      <c r="C528" s="44" t="s">
        <v>484</v>
      </c>
      <c r="D528" s="30"/>
      <c r="E528" s="30"/>
      <c r="F528" s="30"/>
      <c r="G528" s="30"/>
      <c r="H528" s="30"/>
    </row>
    <row r="529" spans="1:8" ht="30.9" customHeight="1" x14ac:dyDescent="0.3">
      <c r="B529" s="27" t="s">
        <v>301</v>
      </c>
      <c r="C529" s="44" t="s">
        <v>485</v>
      </c>
      <c r="D529" s="30"/>
      <c r="E529" s="30"/>
      <c r="F529" s="30"/>
      <c r="G529" s="30"/>
      <c r="H529" s="30"/>
    </row>
    <row r="530" spans="1:8" ht="15.9" customHeight="1" x14ac:dyDescent="0.3">
      <c r="B530" s="43" t="s">
        <v>285</v>
      </c>
      <c r="C530" s="30"/>
      <c r="D530" s="30"/>
      <c r="E530" s="30"/>
      <c r="F530" s="30"/>
      <c r="G530" s="30"/>
      <c r="H530" s="30"/>
    </row>
    <row r="531" spans="1:8" ht="18" customHeight="1" x14ac:dyDescent="0.3">
      <c r="B531" s="27" t="s">
        <v>302</v>
      </c>
      <c r="C531" s="44" t="s">
        <v>467</v>
      </c>
      <c r="D531" s="30"/>
      <c r="E531" s="30"/>
      <c r="F531" s="30"/>
      <c r="G531" s="30"/>
      <c r="H531" s="30"/>
    </row>
    <row r="532" spans="1:8" ht="18" customHeight="1" x14ac:dyDescent="0.3">
      <c r="B532" s="27" t="s">
        <v>303</v>
      </c>
      <c r="C532" s="44" t="s">
        <v>354</v>
      </c>
      <c r="D532" s="30"/>
      <c r="E532" s="30"/>
      <c r="F532" s="30"/>
      <c r="G532" s="30"/>
      <c r="H532" s="30"/>
    </row>
    <row r="533" spans="1:8" ht="18" customHeight="1" x14ac:dyDescent="0.3">
      <c r="B533" s="27" t="s">
        <v>304</v>
      </c>
      <c r="C533" s="44" t="s">
        <v>1095</v>
      </c>
      <c r="D533" s="30"/>
      <c r="E533" s="30"/>
      <c r="F533" s="30"/>
      <c r="G533" s="30"/>
      <c r="H533" s="30"/>
    </row>
    <row r="536" spans="1:8" ht="21.9" customHeight="1" x14ac:dyDescent="0.3">
      <c r="A536" s="45" t="s">
        <v>1113</v>
      </c>
      <c r="B536" s="30"/>
      <c r="C536" s="30"/>
      <c r="D536" s="30"/>
      <c r="E536" s="30"/>
      <c r="F536" s="30"/>
      <c r="G536" s="30"/>
      <c r="H536" s="30"/>
    </row>
    <row r="538" spans="1:8" ht="15.9" customHeight="1" x14ac:dyDescent="0.3">
      <c r="B538" s="43" t="s">
        <v>3</v>
      </c>
      <c r="C538" s="30"/>
      <c r="D538" s="30"/>
      <c r="E538" s="30"/>
      <c r="F538" s="30"/>
      <c r="G538" s="30"/>
      <c r="H538" s="30"/>
    </row>
    <row r="539" spans="1:8" ht="18" customHeight="1" x14ac:dyDescent="0.3">
      <c r="B539" s="27" t="s">
        <v>286</v>
      </c>
      <c r="C539" s="44" t="s">
        <v>486</v>
      </c>
      <c r="D539" s="30"/>
      <c r="E539" s="30"/>
      <c r="F539" s="30"/>
      <c r="G539" s="30"/>
      <c r="H539" s="30"/>
    </row>
    <row r="540" spans="1:8" ht="18" customHeight="1" x14ac:dyDescent="0.3">
      <c r="B540" s="27" t="s">
        <v>287</v>
      </c>
      <c r="C540" s="44" t="s">
        <v>487</v>
      </c>
      <c r="D540" s="30"/>
      <c r="E540" s="30"/>
      <c r="F540" s="30"/>
      <c r="G540" s="30"/>
      <c r="H540" s="30"/>
    </row>
    <row r="541" spans="1:8" ht="18" customHeight="1" x14ac:dyDescent="0.3">
      <c r="B541" s="27" t="s">
        <v>288</v>
      </c>
      <c r="C541" s="44" t="s">
        <v>169</v>
      </c>
      <c r="D541" s="30"/>
      <c r="E541" s="30"/>
      <c r="F541" s="30"/>
      <c r="G541" s="30"/>
      <c r="H541" s="30"/>
    </row>
    <row r="542" spans="1:8" ht="18" customHeight="1" x14ac:dyDescent="0.3">
      <c r="B542" s="27" t="s">
        <v>289</v>
      </c>
      <c r="C542" s="44" t="s">
        <v>1093</v>
      </c>
      <c r="D542" s="30"/>
      <c r="E542" s="30"/>
      <c r="F542" s="30"/>
      <c r="G542" s="30"/>
      <c r="H542" s="30"/>
    </row>
    <row r="543" spans="1:8" ht="18" customHeight="1" x14ac:dyDescent="0.3">
      <c r="B543" s="27" t="s">
        <v>290</v>
      </c>
      <c r="C543" s="44" t="s">
        <v>166</v>
      </c>
      <c r="D543" s="30"/>
      <c r="E543" s="30"/>
      <c r="F543" s="30"/>
      <c r="G543" s="30"/>
      <c r="H543" s="30"/>
    </row>
    <row r="544" spans="1:8" ht="15.9" customHeight="1" x14ac:dyDescent="0.3">
      <c r="B544" s="43" t="s">
        <v>282</v>
      </c>
      <c r="C544" s="30"/>
      <c r="D544" s="30"/>
      <c r="E544" s="30"/>
      <c r="F544" s="30"/>
      <c r="G544" s="30"/>
      <c r="H544" s="30"/>
    </row>
    <row r="545" spans="2:8" ht="18" customHeight="1" x14ac:dyDescent="0.3">
      <c r="B545" s="27" t="s">
        <v>291</v>
      </c>
      <c r="C545" s="44" t="s">
        <v>488</v>
      </c>
      <c r="D545" s="30"/>
      <c r="E545" s="30"/>
      <c r="F545" s="30"/>
      <c r="G545" s="30"/>
      <c r="H545" s="30"/>
    </row>
    <row r="546" spans="2:8" ht="18" customHeight="1" x14ac:dyDescent="0.3">
      <c r="B546" s="27" t="s">
        <v>292</v>
      </c>
      <c r="C546" s="44" t="s">
        <v>489</v>
      </c>
      <c r="D546" s="30"/>
      <c r="E546" s="30"/>
      <c r="F546" s="30"/>
      <c r="G546" s="30"/>
      <c r="H546" s="30"/>
    </row>
    <row r="547" spans="2:8" ht="30.9" customHeight="1" x14ac:dyDescent="0.3">
      <c r="B547" s="27" t="s">
        <v>293</v>
      </c>
      <c r="C547" s="44" t="s">
        <v>490</v>
      </c>
      <c r="D547" s="30"/>
      <c r="E547" s="30"/>
      <c r="F547" s="30"/>
      <c r="G547" s="30"/>
      <c r="H547" s="30"/>
    </row>
    <row r="548" spans="2:8" ht="15.9" customHeight="1" x14ac:dyDescent="0.3">
      <c r="B548" s="43" t="s">
        <v>283</v>
      </c>
      <c r="C548" s="30"/>
      <c r="D548" s="30"/>
      <c r="E548" s="30"/>
      <c r="F548" s="30"/>
      <c r="G548" s="30"/>
      <c r="H548" s="30"/>
    </row>
    <row r="549" spans="2:8" ht="18" customHeight="1" x14ac:dyDescent="0.3">
      <c r="B549" s="27" t="s">
        <v>294</v>
      </c>
      <c r="C549" s="44" t="s">
        <v>308</v>
      </c>
      <c r="D549" s="30"/>
      <c r="E549" s="30"/>
      <c r="F549" s="30"/>
      <c r="G549" s="30"/>
      <c r="H549" s="30"/>
    </row>
    <row r="550" spans="2:8" ht="18" customHeight="1" x14ac:dyDescent="0.3">
      <c r="B550" s="27" t="s">
        <v>295</v>
      </c>
      <c r="C550" s="44" t="s">
        <v>309</v>
      </c>
      <c r="D550" s="30"/>
      <c r="E550" s="30"/>
      <c r="F550" s="30"/>
      <c r="G550" s="30"/>
      <c r="H550" s="30"/>
    </row>
    <row r="551" spans="2:8" ht="18" customHeight="1" x14ac:dyDescent="0.3">
      <c r="B551" s="27" t="s">
        <v>296</v>
      </c>
      <c r="C551" s="44" t="s">
        <v>310</v>
      </c>
      <c r="D551" s="30"/>
      <c r="E551" s="30"/>
      <c r="F551" s="30"/>
      <c r="G551" s="30"/>
      <c r="H551" s="30"/>
    </row>
    <row r="552" spans="2:8" ht="15.9" customHeight="1" x14ac:dyDescent="0.3">
      <c r="B552" s="43" t="s">
        <v>284</v>
      </c>
      <c r="C552" s="30"/>
      <c r="D552" s="30"/>
      <c r="E552" s="30"/>
      <c r="F552" s="30"/>
      <c r="G552" s="30"/>
      <c r="H552" s="30"/>
    </row>
    <row r="553" spans="2:8" ht="18" customHeight="1" x14ac:dyDescent="0.3">
      <c r="B553" s="27" t="s">
        <v>297</v>
      </c>
      <c r="C553" s="44" t="s">
        <v>432</v>
      </c>
      <c r="D553" s="30"/>
      <c r="E553" s="30"/>
      <c r="F553" s="30"/>
      <c r="G553" s="30"/>
      <c r="H553" s="30"/>
    </row>
    <row r="554" spans="2:8" ht="18" customHeight="1" x14ac:dyDescent="0.3">
      <c r="B554" s="27" t="s">
        <v>298</v>
      </c>
      <c r="C554" s="44" t="s">
        <v>491</v>
      </c>
      <c r="D554" s="30"/>
      <c r="E554" s="30"/>
      <c r="F554" s="30"/>
      <c r="G554" s="30"/>
      <c r="H554" s="30"/>
    </row>
    <row r="555" spans="2:8" ht="56.1" customHeight="1" x14ac:dyDescent="0.3">
      <c r="B555" s="27" t="s">
        <v>299</v>
      </c>
      <c r="C555" s="44" t="s">
        <v>492</v>
      </c>
      <c r="D555" s="30"/>
      <c r="E555" s="30"/>
      <c r="F555" s="30"/>
      <c r="G555" s="30"/>
      <c r="H555" s="30"/>
    </row>
    <row r="556" spans="2:8" ht="30.9" customHeight="1" x14ac:dyDescent="0.3">
      <c r="B556" s="27" t="s">
        <v>300</v>
      </c>
      <c r="C556" s="44" t="s">
        <v>493</v>
      </c>
      <c r="D556" s="30"/>
      <c r="E556" s="30"/>
      <c r="F556" s="30"/>
      <c r="G556" s="30"/>
      <c r="H556" s="30"/>
    </row>
    <row r="557" spans="2:8" ht="30.9" customHeight="1" x14ac:dyDescent="0.3">
      <c r="B557" s="27" t="s">
        <v>301</v>
      </c>
      <c r="C557" s="44" t="s">
        <v>494</v>
      </c>
      <c r="D557" s="30"/>
      <c r="E557" s="30"/>
      <c r="F557" s="30"/>
      <c r="G557" s="30"/>
      <c r="H557" s="30"/>
    </row>
    <row r="558" spans="2:8" ht="15.9" customHeight="1" x14ac:dyDescent="0.3">
      <c r="B558" s="43" t="s">
        <v>285</v>
      </c>
      <c r="C558" s="30"/>
      <c r="D558" s="30"/>
      <c r="E558" s="30"/>
      <c r="F558" s="30"/>
      <c r="G558" s="30"/>
      <c r="H558" s="30"/>
    </row>
    <row r="559" spans="2:8" ht="18" customHeight="1" x14ac:dyDescent="0.3">
      <c r="B559" s="27" t="s">
        <v>302</v>
      </c>
      <c r="C559" s="44" t="s">
        <v>495</v>
      </c>
      <c r="D559" s="30"/>
      <c r="E559" s="30"/>
      <c r="F559" s="30"/>
      <c r="G559" s="30"/>
      <c r="H559" s="30"/>
    </row>
    <row r="560" spans="2:8" ht="18" customHeight="1" x14ac:dyDescent="0.3">
      <c r="B560" s="27" t="s">
        <v>303</v>
      </c>
      <c r="C560" s="44" t="s">
        <v>354</v>
      </c>
      <c r="D560" s="30"/>
      <c r="E560" s="30"/>
      <c r="F560" s="30"/>
      <c r="G560" s="30"/>
      <c r="H560" s="30"/>
    </row>
    <row r="561" spans="1:8" ht="18" customHeight="1" x14ac:dyDescent="0.3">
      <c r="B561" s="27" t="s">
        <v>304</v>
      </c>
      <c r="C561" s="44" t="s">
        <v>1095</v>
      </c>
      <c r="D561" s="30"/>
      <c r="E561" s="30"/>
      <c r="F561" s="30"/>
      <c r="G561" s="30"/>
      <c r="H561" s="30"/>
    </row>
    <row r="564" spans="1:8" ht="21.9" customHeight="1" x14ac:dyDescent="0.3">
      <c r="A564" s="45" t="s">
        <v>1114</v>
      </c>
      <c r="B564" s="30"/>
      <c r="C564" s="30"/>
      <c r="D564" s="30"/>
      <c r="E564" s="30"/>
      <c r="F564" s="30"/>
      <c r="G564" s="30"/>
      <c r="H564" s="30"/>
    </row>
    <row r="566" spans="1:8" ht="15.9" customHeight="1" x14ac:dyDescent="0.3">
      <c r="B566" s="43" t="s">
        <v>3</v>
      </c>
      <c r="C566" s="30"/>
      <c r="D566" s="30"/>
      <c r="E566" s="30"/>
      <c r="F566" s="30"/>
      <c r="G566" s="30"/>
      <c r="H566" s="30"/>
    </row>
    <row r="567" spans="1:8" ht="18" customHeight="1" x14ac:dyDescent="0.3">
      <c r="B567" s="27" t="s">
        <v>286</v>
      </c>
      <c r="C567" s="44" t="s">
        <v>496</v>
      </c>
      <c r="D567" s="30"/>
      <c r="E567" s="30"/>
      <c r="F567" s="30"/>
      <c r="G567" s="30"/>
      <c r="H567" s="30"/>
    </row>
    <row r="568" spans="1:8" ht="18" customHeight="1" x14ac:dyDescent="0.3">
      <c r="B568" s="27" t="s">
        <v>287</v>
      </c>
      <c r="C568" s="44" t="s">
        <v>497</v>
      </c>
      <c r="D568" s="30"/>
      <c r="E568" s="30"/>
      <c r="F568" s="30"/>
      <c r="G568" s="30"/>
      <c r="H568" s="30"/>
    </row>
    <row r="569" spans="1:8" ht="18" customHeight="1" x14ac:dyDescent="0.3">
      <c r="B569" s="27" t="s">
        <v>288</v>
      </c>
      <c r="C569" s="44" t="s">
        <v>169</v>
      </c>
      <c r="D569" s="30"/>
      <c r="E569" s="30"/>
      <c r="F569" s="30"/>
      <c r="G569" s="30"/>
      <c r="H569" s="30"/>
    </row>
    <row r="570" spans="1:8" ht="18" customHeight="1" x14ac:dyDescent="0.3">
      <c r="B570" s="27" t="s">
        <v>289</v>
      </c>
      <c r="C570" s="44" t="s">
        <v>1093</v>
      </c>
      <c r="D570" s="30"/>
      <c r="E570" s="30"/>
      <c r="F570" s="30"/>
      <c r="G570" s="30"/>
      <c r="H570" s="30"/>
    </row>
    <row r="571" spans="1:8" ht="18" customHeight="1" x14ac:dyDescent="0.3">
      <c r="B571" s="27" t="s">
        <v>290</v>
      </c>
      <c r="C571" s="44" t="s">
        <v>166</v>
      </c>
      <c r="D571" s="30"/>
      <c r="E571" s="30"/>
      <c r="F571" s="30"/>
      <c r="G571" s="30"/>
      <c r="H571" s="30"/>
    </row>
    <row r="572" spans="1:8" ht="15.9" customHeight="1" x14ac:dyDescent="0.3">
      <c r="B572" s="43" t="s">
        <v>282</v>
      </c>
      <c r="C572" s="30"/>
      <c r="D572" s="30"/>
      <c r="E572" s="30"/>
      <c r="F572" s="30"/>
      <c r="G572" s="30"/>
      <c r="H572" s="30"/>
    </row>
    <row r="573" spans="1:8" ht="18" customHeight="1" x14ac:dyDescent="0.3">
      <c r="B573" s="27" t="s">
        <v>291</v>
      </c>
      <c r="C573" s="44" t="s">
        <v>498</v>
      </c>
      <c r="D573" s="30"/>
      <c r="E573" s="30"/>
      <c r="F573" s="30"/>
      <c r="G573" s="30"/>
      <c r="H573" s="30"/>
    </row>
    <row r="574" spans="1:8" ht="18" customHeight="1" x14ac:dyDescent="0.3">
      <c r="B574" s="27" t="s">
        <v>292</v>
      </c>
      <c r="C574" s="44" t="s">
        <v>460</v>
      </c>
      <c r="D574" s="30"/>
      <c r="E574" s="30"/>
      <c r="F574" s="30"/>
      <c r="G574" s="30"/>
      <c r="H574" s="30"/>
    </row>
    <row r="575" spans="1:8" ht="30.9" customHeight="1" x14ac:dyDescent="0.3">
      <c r="B575" s="27" t="s">
        <v>293</v>
      </c>
      <c r="C575" s="44" t="s">
        <v>499</v>
      </c>
      <c r="D575" s="30"/>
      <c r="E575" s="30"/>
      <c r="F575" s="30"/>
      <c r="G575" s="30"/>
      <c r="H575" s="30"/>
    </row>
    <row r="576" spans="1:8" ht="15.9" customHeight="1" x14ac:dyDescent="0.3">
      <c r="B576" s="43" t="s">
        <v>283</v>
      </c>
      <c r="C576" s="30"/>
      <c r="D576" s="30"/>
      <c r="E576" s="30"/>
      <c r="F576" s="30"/>
      <c r="G576" s="30"/>
      <c r="H576" s="30"/>
    </row>
    <row r="577" spans="1:8" ht="18" customHeight="1" x14ac:dyDescent="0.3">
      <c r="B577" s="27" t="s">
        <v>294</v>
      </c>
      <c r="C577" s="44" t="s">
        <v>308</v>
      </c>
      <c r="D577" s="30"/>
      <c r="E577" s="30"/>
      <c r="F577" s="30"/>
      <c r="G577" s="30"/>
      <c r="H577" s="30"/>
    </row>
    <row r="578" spans="1:8" ht="18" customHeight="1" x14ac:dyDescent="0.3">
      <c r="B578" s="27" t="s">
        <v>295</v>
      </c>
      <c r="C578" s="44" t="s">
        <v>309</v>
      </c>
      <c r="D578" s="30"/>
      <c r="E578" s="30"/>
      <c r="F578" s="30"/>
      <c r="G578" s="30"/>
      <c r="H578" s="30"/>
    </row>
    <row r="579" spans="1:8" ht="18" customHeight="1" x14ac:dyDescent="0.3">
      <c r="B579" s="27" t="s">
        <v>296</v>
      </c>
      <c r="C579" s="44" t="s">
        <v>310</v>
      </c>
      <c r="D579" s="30"/>
      <c r="E579" s="30"/>
      <c r="F579" s="30"/>
      <c r="G579" s="30"/>
      <c r="H579" s="30"/>
    </row>
    <row r="580" spans="1:8" ht="15.9" customHeight="1" x14ac:dyDescent="0.3">
      <c r="B580" s="43" t="s">
        <v>284</v>
      </c>
      <c r="C580" s="30"/>
      <c r="D580" s="30"/>
      <c r="E580" s="30"/>
      <c r="F580" s="30"/>
      <c r="G580" s="30"/>
      <c r="H580" s="30"/>
    </row>
    <row r="581" spans="1:8" ht="18" customHeight="1" x14ac:dyDescent="0.3">
      <c r="B581" s="27" t="s">
        <v>297</v>
      </c>
      <c r="C581" s="44" t="s">
        <v>500</v>
      </c>
      <c r="D581" s="30"/>
      <c r="E581" s="30"/>
      <c r="F581" s="30"/>
      <c r="G581" s="30"/>
      <c r="H581" s="30"/>
    </row>
    <row r="582" spans="1:8" ht="18" customHeight="1" x14ac:dyDescent="0.3">
      <c r="B582" s="27" t="s">
        <v>298</v>
      </c>
      <c r="C582" s="44" t="s">
        <v>501</v>
      </c>
      <c r="D582" s="30"/>
      <c r="E582" s="30"/>
      <c r="F582" s="30"/>
      <c r="G582" s="30"/>
      <c r="H582" s="30"/>
    </row>
    <row r="583" spans="1:8" ht="42.9" customHeight="1" x14ac:dyDescent="0.3">
      <c r="B583" s="27" t="s">
        <v>299</v>
      </c>
      <c r="C583" s="44" t="s">
        <v>502</v>
      </c>
      <c r="D583" s="30"/>
      <c r="E583" s="30"/>
      <c r="F583" s="30"/>
      <c r="G583" s="30"/>
      <c r="H583" s="30"/>
    </row>
    <row r="584" spans="1:8" ht="18" customHeight="1" x14ac:dyDescent="0.3">
      <c r="B584" s="27" t="s">
        <v>300</v>
      </c>
      <c r="C584" s="44" t="s">
        <v>503</v>
      </c>
      <c r="D584" s="30"/>
      <c r="E584" s="30"/>
      <c r="F584" s="30"/>
      <c r="G584" s="30"/>
      <c r="H584" s="30"/>
    </row>
    <row r="585" spans="1:8" ht="30.9" customHeight="1" x14ac:dyDescent="0.3">
      <c r="B585" s="27" t="s">
        <v>301</v>
      </c>
      <c r="C585" s="44" t="s">
        <v>504</v>
      </c>
      <c r="D585" s="30"/>
      <c r="E585" s="30"/>
      <c r="F585" s="30"/>
      <c r="G585" s="30"/>
      <c r="H585" s="30"/>
    </row>
    <row r="586" spans="1:8" ht="15.9" customHeight="1" x14ac:dyDescent="0.3">
      <c r="B586" s="43" t="s">
        <v>285</v>
      </c>
      <c r="C586" s="30"/>
      <c r="D586" s="30"/>
      <c r="E586" s="30"/>
      <c r="F586" s="30"/>
      <c r="G586" s="30"/>
      <c r="H586" s="30"/>
    </row>
    <row r="587" spans="1:8" ht="18" customHeight="1" x14ac:dyDescent="0.3">
      <c r="B587" s="27" t="s">
        <v>302</v>
      </c>
      <c r="C587" s="44" t="s">
        <v>467</v>
      </c>
      <c r="D587" s="30"/>
      <c r="E587" s="30"/>
      <c r="F587" s="30"/>
      <c r="G587" s="30"/>
      <c r="H587" s="30"/>
    </row>
    <row r="588" spans="1:8" ht="18" customHeight="1" x14ac:dyDescent="0.3">
      <c r="B588" s="27" t="s">
        <v>303</v>
      </c>
      <c r="C588" s="44" t="s">
        <v>505</v>
      </c>
      <c r="D588" s="30"/>
      <c r="E588" s="30"/>
      <c r="F588" s="30"/>
      <c r="G588" s="30"/>
      <c r="H588" s="30"/>
    </row>
    <row r="589" spans="1:8" ht="18" customHeight="1" x14ac:dyDescent="0.3">
      <c r="B589" s="27" t="s">
        <v>304</v>
      </c>
      <c r="C589" s="44" t="s">
        <v>1095</v>
      </c>
      <c r="D589" s="30"/>
      <c r="E589" s="30"/>
      <c r="F589" s="30"/>
      <c r="G589" s="30"/>
      <c r="H589" s="30"/>
    </row>
    <row r="592" spans="1:8" ht="21.9" customHeight="1" x14ac:dyDescent="0.3">
      <c r="A592" s="45" t="s">
        <v>1115</v>
      </c>
      <c r="B592" s="30"/>
      <c r="C592" s="30"/>
      <c r="D592" s="30"/>
      <c r="E592" s="30"/>
      <c r="F592" s="30"/>
      <c r="G592" s="30"/>
      <c r="H592" s="30"/>
    </row>
    <row r="594" spans="2:8" ht="15.9" customHeight="1" x14ac:dyDescent="0.3">
      <c r="B594" s="43" t="s">
        <v>3</v>
      </c>
      <c r="C594" s="30"/>
      <c r="D594" s="30"/>
      <c r="E594" s="30"/>
      <c r="F594" s="30"/>
      <c r="G594" s="30"/>
      <c r="H594" s="30"/>
    </row>
    <row r="595" spans="2:8" ht="18" customHeight="1" x14ac:dyDescent="0.3">
      <c r="B595" s="27" t="s">
        <v>286</v>
      </c>
      <c r="C595" s="44" t="s">
        <v>505</v>
      </c>
      <c r="D595" s="30"/>
      <c r="E595" s="30"/>
      <c r="F595" s="30"/>
      <c r="G595" s="30"/>
      <c r="H595" s="30"/>
    </row>
    <row r="596" spans="2:8" ht="18" customHeight="1" x14ac:dyDescent="0.3">
      <c r="B596" s="27" t="s">
        <v>287</v>
      </c>
      <c r="C596" s="44" t="s">
        <v>506</v>
      </c>
      <c r="D596" s="30"/>
      <c r="E596" s="30"/>
      <c r="F596" s="30"/>
      <c r="G596" s="30"/>
      <c r="H596" s="30"/>
    </row>
    <row r="597" spans="2:8" ht="18" customHeight="1" x14ac:dyDescent="0.3">
      <c r="B597" s="27" t="s">
        <v>288</v>
      </c>
      <c r="C597" s="44" t="s">
        <v>169</v>
      </c>
      <c r="D597" s="30"/>
      <c r="E597" s="30"/>
      <c r="F597" s="30"/>
      <c r="G597" s="30"/>
      <c r="H597" s="30"/>
    </row>
    <row r="598" spans="2:8" ht="18" customHeight="1" x14ac:dyDescent="0.3">
      <c r="B598" s="27" t="s">
        <v>289</v>
      </c>
      <c r="C598" s="44" t="s">
        <v>1093</v>
      </c>
      <c r="D598" s="30"/>
      <c r="E598" s="30"/>
      <c r="F598" s="30"/>
      <c r="G598" s="30"/>
      <c r="H598" s="30"/>
    </row>
    <row r="599" spans="2:8" ht="18" customHeight="1" x14ac:dyDescent="0.3">
      <c r="B599" s="27" t="s">
        <v>290</v>
      </c>
      <c r="C599" s="44" t="s">
        <v>166</v>
      </c>
      <c r="D599" s="30"/>
      <c r="E599" s="30"/>
      <c r="F599" s="30"/>
      <c r="G599" s="30"/>
      <c r="H599" s="30"/>
    </row>
    <row r="600" spans="2:8" ht="15.9" customHeight="1" x14ac:dyDescent="0.3">
      <c r="B600" s="43" t="s">
        <v>282</v>
      </c>
      <c r="C600" s="30"/>
      <c r="D600" s="30"/>
      <c r="E600" s="30"/>
      <c r="F600" s="30"/>
      <c r="G600" s="30"/>
      <c r="H600" s="30"/>
    </row>
    <row r="601" spans="2:8" ht="44.1" customHeight="1" x14ac:dyDescent="0.3">
      <c r="B601" s="27" t="s">
        <v>291</v>
      </c>
      <c r="C601" s="44" t="s">
        <v>507</v>
      </c>
      <c r="D601" s="30"/>
      <c r="E601" s="30"/>
      <c r="F601" s="30"/>
      <c r="G601" s="30"/>
      <c r="H601" s="30"/>
    </row>
    <row r="602" spans="2:8" ht="18" customHeight="1" x14ac:dyDescent="0.3">
      <c r="B602" s="27" t="s">
        <v>292</v>
      </c>
      <c r="C602" s="44" t="s">
        <v>460</v>
      </c>
      <c r="D602" s="30"/>
      <c r="E602" s="30"/>
      <c r="F602" s="30"/>
      <c r="G602" s="30"/>
      <c r="H602" s="30"/>
    </row>
    <row r="603" spans="2:8" ht="30.9" customHeight="1" x14ac:dyDescent="0.3">
      <c r="B603" s="27" t="s">
        <v>293</v>
      </c>
      <c r="C603" s="44" t="s">
        <v>508</v>
      </c>
      <c r="D603" s="30"/>
      <c r="E603" s="30"/>
      <c r="F603" s="30"/>
      <c r="G603" s="30"/>
      <c r="H603" s="30"/>
    </row>
    <row r="604" spans="2:8" ht="15.9" customHeight="1" x14ac:dyDescent="0.3">
      <c r="B604" s="43" t="s">
        <v>283</v>
      </c>
      <c r="C604" s="30"/>
      <c r="D604" s="30"/>
      <c r="E604" s="30"/>
      <c r="F604" s="30"/>
      <c r="G604" s="30"/>
      <c r="H604" s="30"/>
    </row>
    <row r="605" spans="2:8" ht="18" customHeight="1" x14ac:dyDescent="0.3">
      <c r="B605" s="27" t="s">
        <v>294</v>
      </c>
      <c r="C605" s="44" t="s">
        <v>308</v>
      </c>
      <c r="D605" s="30"/>
      <c r="E605" s="30"/>
      <c r="F605" s="30"/>
      <c r="G605" s="30"/>
      <c r="H605" s="30"/>
    </row>
    <row r="606" spans="2:8" ht="18" customHeight="1" x14ac:dyDescent="0.3">
      <c r="B606" s="27" t="s">
        <v>295</v>
      </c>
      <c r="C606" s="44" t="s">
        <v>309</v>
      </c>
      <c r="D606" s="30"/>
      <c r="E606" s="30"/>
      <c r="F606" s="30"/>
      <c r="G606" s="30"/>
      <c r="H606" s="30"/>
    </row>
    <row r="607" spans="2:8" ht="18" customHeight="1" x14ac:dyDescent="0.3">
      <c r="B607" s="27" t="s">
        <v>296</v>
      </c>
      <c r="C607" s="44" t="s">
        <v>509</v>
      </c>
      <c r="D607" s="30"/>
      <c r="E607" s="30"/>
      <c r="F607" s="30"/>
      <c r="G607" s="30"/>
      <c r="H607" s="30"/>
    </row>
    <row r="608" spans="2:8" ht="15.9" customHeight="1" x14ac:dyDescent="0.3">
      <c r="B608" s="43" t="s">
        <v>284</v>
      </c>
      <c r="C608" s="30"/>
      <c r="D608" s="30"/>
      <c r="E608" s="30"/>
      <c r="F608" s="30"/>
      <c r="G608" s="30"/>
      <c r="H608" s="30"/>
    </row>
    <row r="609" spans="1:8" ht="18" customHeight="1" x14ac:dyDescent="0.3">
      <c r="B609" s="27" t="s">
        <v>297</v>
      </c>
      <c r="C609" s="44" t="s">
        <v>510</v>
      </c>
      <c r="D609" s="30"/>
      <c r="E609" s="30"/>
      <c r="F609" s="30"/>
      <c r="G609" s="30"/>
      <c r="H609" s="30"/>
    </row>
    <row r="610" spans="1:8" ht="18" customHeight="1" x14ac:dyDescent="0.3">
      <c r="B610" s="27" t="s">
        <v>298</v>
      </c>
      <c r="C610" s="44" t="s">
        <v>511</v>
      </c>
      <c r="D610" s="30"/>
      <c r="E610" s="30"/>
      <c r="F610" s="30"/>
      <c r="G610" s="30"/>
      <c r="H610" s="30"/>
    </row>
    <row r="611" spans="1:8" ht="42.9" customHeight="1" x14ac:dyDescent="0.3">
      <c r="B611" s="27" t="s">
        <v>299</v>
      </c>
      <c r="C611" s="44" t="s">
        <v>512</v>
      </c>
      <c r="D611" s="30"/>
      <c r="E611" s="30"/>
      <c r="F611" s="30"/>
      <c r="G611" s="30"/>
      <c r="H611" s="30"/>
    </row>
    <row r="612" spans="1:8" ht="18" customHeight="1" x14ac:dyDescent="0.3">
      <c r="B612" s="27" t="s">
        <v>300</v>
      </c>
      <c r="C612" s="44" t="s">
        <v>513</v>
      </c>
      <c r="D612" s="30"/>
      <c r="E612" s="30"/>
      <c r="F612" s="30"/>
      <c r="G612" s="30"/>
      <c r="H612" s="30"/>
    </row>
    <row r="613" spans="1:8" ht="30.9" customHeight="1" x14ac:dyDescent="0.3">
      <c r="B613" s="27" t="s">
        <v>301</v>
      </c>
      <c r="C613" s="44" t="s">
        <v>514</v>
      </c>
      <c r="D613" s="30"/>
      <c r="E613" s="30"/>
      <c r="F613" s="30"/>
      <c r="G613" s="30"/>
      <c r="H613" s="30"/>
    </row>
    <row r="614" spans="1:8" ht="15.9" customHeight="1" x14ac:dyDescent="0.3">
      <c r="B614" s="43" t="s">
        <v>285</v>
      </c>
      <c r="C614" s="30"/>
      <c r="D614" s="30"/>
      <c r="E614" s="30"/>
      <c r="F614" s="30"/>
      <c r="G614" s="30"/>
      <c r="H614" s="30"/>
    </row>
    <row r="615" spans="1:8" ht="18" customHeight="1" x14ac:dyDescent="0.3">
      <c r="B615" s="27" t="s">
        <v>302</v>
      </c>
      <c r="C615" s="44" t="s">
        <v>496</v>
      </c>
      <c r="D615" s="30"/>
      <c r="E615" s="30"/>
      <c r="F615" s="30"/>
      <c r="G615" s="30"/>
      <c r="H615" s="30"/>
    </row>
    <row r="616" spans="1:8" ht="18" customHeight="1" x14ac:dyDescent="0.3">
      <c r="B616" s="27" t="s">
        <v>303</v>
      </c>
      <c r="C616" s="44" t="s">
        <v>354</v>
      </c>
      <c r="D616" s="30"/>
      <c r="E616" s="30"/>
      <c r="F616" s="30"/>
      <c r="G616" s="30"/>
      <c r="H616" s="30"/>
    </row>
    <row r="617" spans="1:8" ht="18" customHeight="1" x14ac:dyDescent="0.3">
      <c r="B617" s="27" t="s">
        <v>304</v>
      </c>
      <c r="C617" s="44" t="s">
        <v>515</v>
      </c>
      <c r="D617" s="30"/>
      <c r="E617" s="30"/>
      <c r="F617" s="30"/>
      <c r="G617" s="30"/>
      <c r="H617" s="30"/>
    </row>
    <row r="620" spans="1:8" ht="21.9" customHeight="1" x14ac:dyDescent="0.3">
      <c r="A620" s="45" t="s">
        <v>1116</v>
      </c>
      <c r="B620" s="30"/>
      <c r="C620" s="30"/>
      <c r="D620" s="30"/>
      <c r="E620" s="30"/>
      <c r="F620" s="30"/>
      <c r="G620" s="30"/>
      <c r="H620" s="30"/>
    </row>
    <row r="622" spans="1:8" ht="15.9" customHeight="1" x14ac:dyDescent="0.3">
      <c r="B622" s="43" t="s">
        <v>3</v>
      </c>
      <c r="C622" s="30"/>
      <c r="D622" s="30"/>
      <c r="E622" s="30"/>
      <c r="F622" s="30"/>
      <c r="G622" s="30"/>
      <c r="H622" s="30"/>
    </row>
    <row r="623" spans="1:8" ht="18" customHeight="1" x14ac:dyDescent="0.3">
      <c r="B623" s="27" t="s">
        <v>286</v>
      </c>
      <c r="C623" s="44" t="s">
        <v>516</v>
      </c>
      <c r="D623" s="30"/>
      <c r="E623" s="30"/>
      <c r="F623" s="30"/>
      <c r="G623" s="30"/>
      <c r="H623" s="30"/>
    </row>
    <row r="624" spans="1:8" ht="18" customHeight="1" x14ac:dyDescent="0.3">
      <c r="B624" s="27" t="s">
        <v>287</v>
      </c>
      <c r="C624" s="44" t="s">
        <v>517</v>
      </c>
      <c r="D624" s="30"/>
      <c r="E624" s="30"/>
      <c r="F624" s="30"/>
      <c r="G624" s="30"/>
      <c r="H624" s="30"/>
    </row>
    <row r="625" spans="2:8" ht="18" customHeight="1" x14ac:dyDescent="0.3">
      <c r="B625" s="27" t="s">
        <v>288</v>
      </c>
      <c r="C625" s="44" t="s">
        <v>169</v>
      </c>
      <c r="D625" s="30"/>
      <c r="E625" s="30"/>
      <c r="F625" s="30"/>
      <c r="G625" s="30"/>
      <c r="H625" s="30"/>
    </row>
    <row r="626" spans="2:8" ht="18" customHeight="1" x14ac:dyDescent="0.3">
      <c r="B626" s="27" t="s">
        <v>289</v>
      </c>
      <c r="C626" s="44" t="s">
        <v>1093</v>
      </c>
      <c r="D626" s="30"/>
      <c r="E626" s="30"/>
      <c r="F626" s="30"/>
      <c r="G626" s="30"/>
      <c r="H626" s="30"/>
    </row>
    <row r="627" spans="2:8" ht="18" customHeight="1" x14ac:dyDescent="0.3">
      <c r="B627" s="27" t="s">
        <v>290</v>
      </c>
      <c r="C627" s="44" t="s">
        <v>166</v>
      </c>
      <c r="D627" s="30"/>
      <c r="E627" s="30"/>
      <c r="F627" s="30"/>
      <c r="G627" s="30"/>
      <c r="H627" s="30"/>
    </row>
    <row r="628" spans="2:8" ht="15.9" customHeight="1" x14ac:dyDescent="0.3">
      <c r="B628" s="43" t="s">
        <v>282</v>
      </c>
      <c r="C628" s="30"/>
      <c r="D628" s="30"/>
      <c r="E628" s="30"/>
      <c r="F628" s="30"/>
      <c r="G628" s="30"/>
      <c r="H628" s="30"/>
    </row>
    <row r="629" spans="2:8" ht="30.9" customHeight="1" x14ac:dyDescent="0.3">
      <c r="B629" s="27" t="s">
        <v>291</v>
      </c>
      <c r="C629" s="44" t="s">
        <v>518</v>
      </c>
      <c r="D629" s="30"/>
      <c r="E629" s="30"/>
      <c r="F629" s="30"/>
      <c r="G629" s="30"/>
      <c r="H629" s="30"/>
    </row>
    <row r="630" spans="2:8" ht="18" customHeight="1" x14ac:dyDescent="0.3">
      <c r="B630" s="27" t="s">
        <v>292</v>
      </c>
      <c r="C630" s="44" t="s">
        <v>519</v>
      </c>
      <c r="D630" s="30"/>
      <c r="E630" s="30"/>
      <c r="F630" s="30"/>
      <c r="G630" s="30"/>
      <c r="H630" s="30"/>
    </row>
    <row r="631" spans="2:8" ht="30.9" customHeight="1" x14ac:dyDescent="0.3">
      <c r="B631" s="27" t="s">
        <v>293</v>
      </c>
      <c r="C631" s="44" t="s">
        <v>520</v>
      </c>
      <c r="D631" s="30"/>
      <c r="E631" s="30"/>
      <c r="F631" s="30"/>
      <c r="G631" s="30"/>
      <c r="H631" s="30"/>
    </row>
    <row r="632" spans="2:8" ht="15.9" customHeight="1" x14ac:dyDescent="0.3">
      <c r="B632" s="43" t="s">
        <v>283</v>
      </c>
      <c r="C632" s="30"/>
      <c r="D632" s="30"/>
      <c r="E632" s="30"/>
      <c r="F632" s="30"/>
      <c r="G632" s="30"/>
      <c r="H632" s="30"/>
    </row>
    <row r="633" spans="2:8" ht="18" customHeight="1" x14ac:dyDescent="0.3">
      <c r="B633" s="27" t="s">
        <v>294</v>
      </c>
      <c r="C633" s="44" t="s">
        <v>308</v>
      </c>
      <c r="D633" s="30"/>
      <c r="E633" s="30"/>
      <c r="F633" s="30"/>
      <c r="G633" s="30"/>
      <c r="H633" s="30"/>
    </row>
    <row r="634" spans="2:8" ht="18" customHeight="1" x14ac:dyDescent="0.3">
      <c r="B634" s="27" t="s">
        <v>295</v>
      </c>
      <c r="C634" s="44" t="s">
        <v>309</v>
      </c>
      <c r="D634" s="30"/>
      <c r="E634" s="30"/>
      <c r="F634" s="30"/>
      <c r="G634" s="30"/>
      <c r="H634" s="30"/>
    </row>
    <row r="635" spans="2:8" ht="18" customHeight="1" x14ac:dyDescent="0.3">
      <c r="B635" s="27" t="s">
        <v>296</v>
      </c>
      <c r="C635" s="44" t="s">
        <v>310</v>
      </c>
      <c r="D635" s="30"/>
      <c r="E635" s="30"/>
      <c r="F635" s="30"/>
      <c r="G635" s="30"/>
      <c r="H635" s="30"/>
    </row>
    <row r="636" spans="2:8" ht="15.9" customHeight="1" x14ac:dyDescent="0.3">
      <c r="B636" s="43" t="s">
        <v>284</v>
      </c>
      <c r="C636" s="30"/>
      <c r="D636" s="30"/>
      <c r="E636" s="30"/>
      <c r="F636" s="30"/>
      <c r="G636" s="30"/>
      <c r="H636" s="30"/>
    </row>
    <row r="637" spans="2:8" ht="18" customHeight="1" x14ac:dyDescent="0.3">
      <c r="B637" s="27" t="s">
        <v>297</v>
      </c>
      <c r="C637" s="44" t="s">
        <v>521</v>
      </c>
      <c r="D637" s="30"/>
      <c r="E637" s="30"/>
      <c r="F637" s="30"/>
      <c r="G637" s="30"/>
      <c r="H637" s="30"/>
    </row>
    <row r="638" spans="2:8" ht="18" customHeight="1" x14ac:dyDescent="0.3">
      <c r="B638" s="27" t="s">
        <v>298</v>
      </c>
      <c r="C638" s="44" t="s">
        <v>522</v>
      </c>
      <c r="D638" s="30"/>
      <c r="E638" s="30"/>
      <c r="F638" s="30"/>
      <c r="G638" s="30"/>
      <c r="H638" s="30"/>
    </row>
    <row r="639" spans="2:8" ht="42.9" customHeight="1" x14ac:dyDescent="0.3">
      <c r="B639" s="27" t="s">
        <v>299</v>
      </c>
      <c r="C639" s="44" t="s">
        <v>523</v>
      </c>
      <c r="D639" s="30"/>
      <c r="E639" s="30"/>
      <c r="F639" s="30"/>
      <c r="G639" s="30"/>
      <c r="H639" s="30"/>
    </row>
    <row r="640" spans="2:8" ht="30.9" customHeight="1" x14ac:dyDescent="0.3">
      <c r="B640" s="27" t="s">
        <v>300</v>
      </c>
      <c r="C640" s="44" t="s">
        <v>524</v>
      </c>
      <c r="D640" s="30"/>
      <c r="E640" s="30"/>
      <c r="F640" s="30"/>
      <c r="G640" s="30"/>
      <c r="H640" s="30"/>
    </row>
    <row r="641" spans="1:8" ht="30.9" customHeight="1" x14ac:dyDescent="0.3">
      <c r="B641" s="27" t="s">
        <v>301</v>
      </c>
      <c r="C641" s="44" t="s">
        <v>525</v>
      </c>
      <c r="D641" s="30"/>
      <c r="E641" s="30"/>
      <c r="F641" s="30"/>
      <c r="G641" s="30"/>
      <c r="H641" s="30"/>
    </row>
    <row r="642" spans="1:8" ht="15.9" customHeight="1" x14ac:dyDescent="0.3">
      <c r="B642" s="43" t="s">
        <v>285</v>
      </c>
      <c r="C642" s="30"/>
      <c r="D642" s="30"/>
      <c r="E642" s="30"/>
      <c r="F642" s="30"/>
      <c r="G642" s="30"/>
      <c r="H642" s="30"/>
    </row>
    <row r="643" spans="1:8" ht="18" customHeight="1" x14ac:dyDescent="0.3">
      <c r="B643" s="27" t="s">
        <v>302</v>
      </c>
      <c r="C643" s="44" t="s">
        <v>339</v>
      </c>
      <c r="D643" s="30"/>
      <c r="E643" s="30"/>
      <c r="F643" s="30"/>
      <c r="G643" s="30"/>
      <c r="H643" s="30"/>
    </row>
    <row r="644" spans="1:8" ht="18" customHeight="1" x14ac:dyDescent="0.3">
      <c r="B644" s="27" t="s">
        <v>303</v>
      </c>
      <c r="C644" s="44" t="s">
        <v>526</v>
      </c>
      <c r="D644" s="30"/>
      <c r="E644" s="30"/>
      <c r="F644" s="30"/>
      <c r="G644" s="30"/>
      <c r="H644" s="30"/>
    </row>
    <row r="645" spans="1:8" ht="18" customHeight="1" x14ac:dyDescent="0.3">
      <c r="B645" s="27" t="s">
        <v>304</v>
      </c>
      <c r="C645" s="44" t="s">
        <v>1095</v>
      </c>
      <c r="D645" s="30"/>
      <c r="E645" s="30"/>
      <c r="F645" s="30"/>
      <c r="G645" s="30"/>
      <c r="H645" s="30"/>
    </row>
    <row r="648" spans="1:8" ht="21.9" customHeight="1" x14ac:dyDescent="0.3">
      <c r="A648" s="45" t="s">
        <v>1117</v>
      </c>
      <c r="B648" s="30"/>
      <c r="C648" s="30"/>
      <c r="D648" s="30"/>
      <c r="E648" s="30"/>
      <c r="F648" s="30"/>
      <c r="G648" s="30"/>
      <c r="H648" s="30"/>
    </row>
    <row r="650" spans="1:8" ht="15.9" customHeight="1" x14ac:dyDescent="0.3">
      <c r="B650" s="43" t="s">
        <v>3</v>
      </c>
      <c r="C650" s="30"/>
      <c r="D650" s="30"/>
      <c r="E650" s="30"/>
      <c r="F650" s="30"/>
      <c r="G650" s="30"/>
      <c r="H650" s="30"/>
    </row>
    <row r="651" spans="1:8" ht="18" customHeight="1" x14ac:dyDescent="0.3">
      <c r="B651" s="27" t="s">
        <v>286</v>
      </c>
      <c r="C651" s="44" t="s">
        <v>526</v>
      </c>
      <c r="D651" s="30"/>
      <c r="E651" s="30"/>
      <c r="F651" s="30"/>
      <c r="G651" s="30"/>
      <c r="H651" s="30"/>
    </row>
    <row r="652" spans="1:8" ht="18" customHeight="1" x14ac:dyDescent="0.3">
      <c r="B652" s="27" t="s">
        <v>287</v>
      </c>
      <c r="C652" s="44" t="s">
        <v>527</v>
      </c>
      <c r="D652" s="30"/>
      <c r="E652" s="30"/>
      <c r="F652" s="30"/>
      <c r="G652" s="30"/>
      <c r="H652" s="30"/>
    </row>
    <row r="653" spans="1:8" ht="18" customHeight="1" x14ac:dyDescent="0.3">
      <c r="B653" s="27" t="s">
        <v>288</v>
      </c>
      <c r="C653" s="44" t="s">
        <v>169</v>
      </c>
      <c r="D653" s="30"/>
      <c r="E653" s="30"/>
      <c r="F653" s="30"/>
      <c r="G653" s="30"/>
      <c r="H653" s="30"/>
    </row>
    <row r="654" spans="1:8" ht="18" customHeight="1" x14ac:dyDescent="0.3">
      <c r="B654" s="27" t="s">
        <v>289</v>
      </c>
      <c r="C654" s="44" t="s">
        <v>1093</v>
      </c>
      <c r="D654" s="30"/>
      <c r="E654" s="30"/>
      <c r="F654" s="30"/>
      <c r="G654" s="30"/>
      <c r="H654" s="30"/>
    </row>
    <row r="655" spans="1:8" ht="18" customHeight="1" x14ac:dyDescent="0.3">
      <c r="B655" s="27" t="s">
        <v>290</v>
      </c>
      <c r="C655" s="44" t="s">
        <v>166</v>
      </c>
      <c r="D655" s="30"/>
      <c r="E655" s="30"/>
      <c r="F655" s="30"/>
      <c r="G655" s="30"/>
      <c r="H655" s="30"/>
    </row>
    <row r="656" spans="1:8" ht="15.9" customHeight="1" x14ac:dyDescent="0.3">
      <c r="B656" s="43" t="s">
        <v>282</v>
      </c>
      <c r="C656" s="30"/>
      <c r="D656" s="30"/>
      <c r="E656" s="30"/>
      <c r="F656" s="30"/>
      <c r="G656" s="30"/>
      <c r="H656" s="30"/>
    </row>
    <row r="657" spans="2:8" ht="30.9" customHeight="1" x14ac:dyDescent="0.3">
      <c r="B657" s="27" t="s">
        <v>291</v>
      </c>
      <c r="C657" s="44" t="s">
        <v>528</v>
      </c>
      <c r="D657" s="30"/>
      <c r="E657" s="30"/>
      <c r="F657" s="30"/>
      <c r="G657" s="30"/>
      <c r="H657" s="30"/>
    </row>
    <row r="658" spans="2:8" ht="18" customHeight="1" x14ac:dyDescent="0.3">
      <c r="B658" s="27" t="s">
        <v>292</v>
      </c>
      <c r="C658" s="44" t="s">
        <v>529</v>
      </c>
      <c r="D658" s="30"/>
      <c r="E658" s="30"/>
      <c r="F658" s="30"/>
      <c r="G658" s="30"/>
      <c r="H658" s="30"/>
    </row>
    <row r="659" spans="2:8" ht="18" customHeight="1" x14ac:dyDescent="0.3">
      <c r="B659" s="27" t="s">
        <v>293</v>
      </c>
      <c r="C659" s="44" t="s">
        <v>530</v>
      </c>
      <c r="D659" s="30"/>
      <c r="E659" s="30"/>
      <c r="F659" s="30"/>
      <c r="G659" s="30"/>
      <c r="H659" s="30"/>
    </row>
    <row r="660" spans="2:8" ht="15.9" customHeight="1" x14ac:dyDescent="0.3">
      <c r="B660" s="43" t="s">
        <v>283</v>
      </c>
      <c r="C660" s="30"/>
      <c r="D660" s="30"/>
      <c r="E660" s="30"/>
      <c r="F660" s="30"/>
      <c r="G660" s="30"/>
      <c r="H660" s="30"/>
    </row>
    <row r="661" spans="2:8" ht="18" customHeight="1" x14ac:dyDescent="0.3">
      <c r="B661" s="27" t="s">
        <v>294</v>
      </c>
      <c r="C661" s="44" t="s">
        <v>308</v>
      </c>
      <c r="D661" s="30"/>
      <c r="E661" s="30"/>
      <c r="F661" s="30"/>
      <c r="G661" s="30"/>
      <c r="H661" s="30"/>
    </row>
    <row r="662" spans="2:8" ht="18" customHeight="1" x14ac:dyDescent="0.3">
      <c r="B662" s="27" t="s">
        <v>295</v>
      </c>
      <c r="C662" s="44" t="s">
        <v>309</v>
      </c>
      <c r="D662" s="30"/>
      <c r="E662" s="30"/>
      <c r="F662" s="30"/>
      <c r="G662" s="30"/>
      <c r="H662" s="30"/>
    </row>
    <row r="663" spans="2:8" ht="18" customHeight="1" x14ac:dyDescent="0.3">
      <c r="B663" s="27" t="s">
        <v>296</v>
      </c>
      <c r="C663" s="44" t="s">
        <v>310</v>
      </c>
      <c r="D663" s="30"/>
      <c r="E663" s="30"/>
      <c r="F663" s="30"/>
      <c r="G663" s="30"/>
      <c r="H663" s="30"/>
    </row>
    <row r="664" spans="2:8" ht="15.9" customHeight="1" x14ac:dyDescent="0.3">
      <c r="B664" s="43" t="s">
        <v>284</v>
      </c>
      <c r="C664" s="30"/>
      <c r="D664" s="30"/>
      <c r="E664" s="30"/>
      <c r="F664" s="30"/>
      <c r="G664" s="30"/>
      <c r="H664" s="30"/>
    </row>
    <row r="665" spans="2:8" ht="18" customHeight="1" x14ac:dyDescent="0.3">
      <c r="B665" s="27" t="s">
        <v>297</v>
      </c>
      <c r="C665" s="44" t="s">
        <v>531</v>
      </c>
      <c r="D665" s="30"/>
      <c r="E665" s="30"/>
      <c r="F665" s="30"/>
      <c r="G665" s="30"/>
      <c r="H665" s="30"/>
    </row>
    <row r="666" spans="2:8" ht="18" customHeight="1" x14ac:dyDescent="0.3">
      <c r="B666" s="27" t="s">
        <v>298</v>
      </c>
      <c r="C666" s="44" t="s">
        <v>532</v>
      </c>
      <c r="D666" s="30"/>
      <c r="E666" s="30"/>
      <c r="F666" s="30"/>
      <c r="G666" s="30"/>
      <c r="H666" s="30"/>
    </row>
    <row r="667" spans="2:8" ht="42.9" customHeight="1" x14ac:dyDescent="0.3">
      <c r="B667" s="27" t="s">
        <v>299</v>
      </c>
      <c r="C667" s="44" t="s">
        <v>533</v>
      </c>
      <c r="D667" s="30"/>
      <c r="E667" s="30"/>
      <c r="F667" s="30"/>
      <c r="G667" s="30"/>
      <c r="H667" s="30"/>
    </row>
    <row r="668" spans="2:8" ht="18" customHeight="1" x14ac:dyDescent="0.3">
      <c r="B668" s="27" t="s">
        <v>300</v>
      </c>
      <c r="C668" s="44" t="s">
        <v>534</v>
      </c>
      <c r="D668" s="30"/>
      <c r="E668" s="30"/>
      <c r="F668" s="30"/>
      <c r="G668" s="30"/>
      <c r="H668" s="30"/>
    </row>
    <row r="669" spans="2:8" ht="30.9" customHeight="1" x14ac:dyDescent="0.3">
      <c r="B669" s="27" t="s">
        <v>301</v>
      </c>
      <c r="C669" s="44" t="s">
        <v>535</v>
      </c>
      <c r="D669" s="30"/>
      <c r="E669" s="30"/>
      <c r="F669" s="30"/>
      <c r="G669" s="30"/>
      <c r="H669" s="30"/>
    </row>
    <row r="670" spans="2:8" ht="15.9" customHeight="1" x14ac:dyDescent="0.3">
      <c r="B670" s="43" t="s">
        <v>285</v>
      </c>
      <c r="C670" s="30"/>
      <c r="D670" s="30"/>
      <c r="E670" s="30"/>
      <c r="F670" s="30"/>
      <c r="G670" s="30"/>
      <c r="H670" s="30"/>
    </row>
    <row r="671" spans="2:8" ht="18" customHeight="1" x14ac:dyDescent="0.3">
      <c r="B671" s="27" t="s">
        <v>302</v>
      </c>
      <c r="C671" s="44" t="s">
        <v>516</v>
      </c>
      <c r="D671" s="30"/>
      <c r="E671" s="30"/>
      <c r="F671" s="30"/>
      <c r="G671" s="30"/>
      <c r="H671" s="30"/>
    </row>
    <row r="672" spans="2:8" ht="18" customHeight="1" x14ac:dyDescent="0.3">
      <c r="B672" s="27" t="s">
        <v>303</v>
      </c>
      <c r="C672" s="44" t="s">
        <v>536</v>
      </c>
      <c r="D672" s="30"/>
      <c r="E672" s="30"/>
      <c r="F672" s="30"/>
      <c r="G672" s="30"/>
      <c r="H672" s="30"/>
    </row>
    <row r="673" spans="1:8" ht="18" customHeight="1" x14ac:dyDescent="0.3">
      <c r="B673" s="27" t="s">
        <v>304</v>
      </c>
      <c r="C673" s="44" t="s">
        <v>1095</v>
      </c>
      <c r="D673" s="30"/>
      <c r="E673" s="30"/>
      <c r="F673" s="30"/>
      <c r="G673" s="30"/>
      <c r="H673" s="30"/>
    </row>
    <row r="676" spans="1:8" ht="21.9" customHeight="1" x14ac:dyDescent="0.3">
      <c r="A676" s="45" t="s">
        <v>1118</v>
      </c>
      <c r="B676" s="30"/>
      <c r="C676" s="30"/>
      <c r="D676" s="30"/>
      <c r="E676" s="30"/>
      <c r="F676" s="30"/>
      <c r="G676" s="30"/>
      <c r="H676" s="30"/>
    </row>
    <row r="678" spans="1:8" ht="15.9" customHeight="1" x14ac:dyDescent="0.3">
      <c r="B678" s="43" t="s">
        <v>3</v>
      </c>
      <c r="C678" s="30"/>
      <c r="D678" s="30"/>
      <c r="E678" s="30"/>
      <c r="F678" s="30"/>
      <c r="G678" s="30"/>
      <c r="H678" s="30"/>
    </row>
    <row r="679" spans="1:8" ht="18" customHeight="1" x14ac:dyDescent="0.3">
      <c r="B679" s="27" t="s">
        <v>286</v>
      </c>
      <c r="C679" s="44" t="s">
        <v>536</v>
      </c>
      <c r="D679" s="30"/>
      <c r="E679" s="30"/>
      <c r="F679" s="30"/>
      <c r="G679" s="30"/>
      <c r="H679" s="30"/>
    </row>
    <row r="680" spans="1:8" ht="18" customHeight="1" x14ac:dyDescent="0.3">
      <c r="B680" s="27" t="s">
        <v>287</v>
      </c>
      <c r="C680" s="44" t="s">
        <v>537</v>
      </c>
      <c r="D680" s="30"/>
      <c r="E680" s="30"/>
      <c r="F680" s="30"/>
      <c r="G680" s="30"/>
      <c r="H680" s="30"/>
    </row>
    <row r="681" spans="1:8" ht="18" customHeight="1" x14ac:dyDescent="0.3">
      <c r="B681" s="27" t="s">
        <v>288</v>
      </c>
      <c r="C681" s="44" t="s">
        <v>169</v>
      </c>
      <c r="D681" s="30"/>
      <c r="E681" s="30"/>
      <c r="F681" s="30"/>
      <c r="G681" s="30"/>
      <c r="H681" s="30"/>
    </row>
    <row r="682" spans="1:8" ht="18" customHeight="1" x14ac:dyDescent="0.3">
      <c r="B682" s="27" t="s">
        <v>289</v>
      </c>
      <c r="C682" s="44" t="s">
        <v>1093</v>
      </c>
      <c r="D682" s="30"/>
      <c r="E682" s="30"/>
      <c r="F682" s="30"/>
      <c r="G682" s="30"/>
      <c r="H682" s="30"/>
    </row>
    <row r="683" spans="1:8" ht="18" customHeight="1" x14ac:dyDescent="0.3">
      <c r="B683" s="27" t="s">
        <v>290</v>
      </c>
      <c r="C683" s="44" t="s">
        <v>166</v>
      </c>
      <c r="D683" s="30"/>
      <c r="E683" s="30"/>
      <c r="F683" s="30"/>
      <c r="G683" s="30"/>
      <c r="H683" s="30"/>
    </row>
    <row r="684" spans="1:8" ht="15.9" customHeight="1" x14ac:dyDescent="0.3">
      <c r="B684" s="43" t="s">
        <v>282</v>
      </c>
      <c r="C684" s="30"/>
      <c r="D684" s="30"/>
      <c r="E684" s="30"/>
      <c r="F684" s="30"/>
      <c r="G684" s="30"/>
      <c r="H684" s="30"/>
    </row>
    <row r="685" spans="1:8" ht="30.9" customHeight="1" x14ac:dyDescent="0.3">
      <c r="B685" s="27" t="s">
        <v>291</v>
      </c>
      <c r="C685" s="44" t="s">
        <v>538</v>
      </c>
      <c r="D685" s="30"/>
      <c r="E685" s="30"/>
      <c r="F685" s="30"/>
      <c r="G685" s="30"/>
      <c r="H685" s="30"/>
    </row>
    <row r="686" spans="1:8" ht="18" customHeight="1" x14ac:dyDescent="0.3">
      <c r="B686" s="27" t="s">
        <v>292</v>
      </c>
      <c r="C686" s="44" t="s">
        <v>529</v>
      </c>
      <c r="D686" s="30"/>
      <c r="E686" s="30"/>
      <c r="F686" s="30"/>
      <c r="G686" s="30"/>
      <c r="H686" s="30"/>
    </row>
    <row r="687" spans="1:8" ht="18" customHeight="1" x14ac:dyDescent="0.3">
      <c r="B687" s="27" t="s">
        <v>293</v>
      </c>
      <c r="C687" s="44" t="s">
        <v>539</v>
      </c>
      <c r="D687" s="30"/>
      <c r="E687" s="30"/>
      <c r="F687" s="30"/>
      <c r="G687" s="30"/>
      <c r="H687" s="30"/>
    </row>
    <row r="688" spans="1:8" ht="15.9" customHeight="1" x14ac:dyDescent="0.3">
      <c r="B688" s="43" t="s">
        <v>283</v>
      </c>
      <c r="C688" s="30"/>
      <c r="D688" s="30"/>
      <c r="E688" s="30"/>
      <c r="F688" s="30"/>
      <c r="G688" s="30"/>
      <c r="H688" s="30"/>
    </row>
    <row r="689" spans="1:8" ht="18" customHeight="1" x14ac:dyDescent="0.3">
      <c r="B689" s="27" t="s">
        <v>294</v>
      </c>
      <c r="C689" s="44" t="s">
        <v>308</v>
      </c>
      <c r="D689" s="30"/>
      <c r="E689" s="30"/>
      <c r="F689" s="30"/>
      <c r="G689" s="30"/>
      <c r="H689" s="30"/>
    </row>
    <row r="690" spans="1:8" ht="18" customHeight="1" x14ac:dyDescent="0.3">
      <c r="B690" s="27" t="s">
        <v>295</v>
      </c>
      <c r="C690" s="44" t="s">
        <v>309</v>
      </c>
      <c r="D690" s="30"/>
      <c r="E690" s="30"/>
      <c r="F690" s="30"/>
      <c r="G690" s="30"/>
      <c r="H690" s="30"/>
    </row>
    <row r="691" spans="1:8" ht="18" customHeight="1" x14ac:dyDescent="0.3">
      <c r="B691" s="27" t="s">
        <v>296</v>
      </c>
      <c r="C691" s="44" t="s">
        <v>310</v>
      </c>
      <c r="D691" s="30"/>
      <c r="E691" s="30"/>
      <c r="F691" s="30"/>
      <c r="G691" s="30"/>
      <c r="H691" s="30"/>
    </row>
    <row r="692" spans="1:8" ht="15.9" customHeight="1" x14ac:dyDescent="0.3">
      <c r="B692" s="43" t="s">
        <v>284</v>
      </c>
      <c r="C692" s="30"/>
      <c r="D692" s="30"/>
      <c r="E692" s="30"/>
      <c r="F692" s="30"/>
      <c r="G692" s="30"/>
      <c r="H692" s="30"/>
    </row>
    <row r="693" spans="1:8" ht="18" customHeight="1" x14ac:dyDescent="0.3">
      <c r="B693" s="27" t="s">
        <v>297</v>
      </c>
      <c r="C693" s="44" t="s">
        <v>540</v>
      </c>
      <c r="D693" s="30"/>
      <c r="E693" s="30"/>
      <c r="F693" s="30"/>
      <c r="G693" s="30"/>
      <c r="H693" s="30"/>
    </row>
    <row r="694" spans="1:8" ht="18" customHeight="1" x14ac:dyDescent="0.3">
      <c r="B694" s="27" t="s">
        <v>298</v>
      </c>
      <c r="C694" s="44" t="s">
        <v>541</v>
      </c>
      <c r="D694" s="30"/>
      <c r="E694" s="30"/>
      <c r="F694" s="30"/>
      <c r="G694" s="30"/>
      <c r="H694" s="30"/>
    </row>
    <row r="695" spans="1:8" ht="42.9" customHeight="1" x14ac:dyDescent="0.3">
      <c r="B695" s="27" t="s">
        <v>299</v>
      </c>
      <c r="C695" s="44" t="s">
        <v>542</v>
      </c>
      <c r="D695" s="30"/>
      <c r="E695" s="30"/>
      <c r="F695" s="30"/>
      <c r="G695" s="30"/>
      <c r="H695" s="30"/>
    </row>
    <row r="696" spans="1:8" ht="18" customHeight="1" x14ac:dyDescent="0.3">
      <c r="B696" s="27" t="s">
        <v>300</v>
      </c>
      <c r="C696" s="44" t="s">
        <v>543</v>
      </c>
      <c r="D696" s="30"/>
      <c r="E696" s="30"/>
      <c r="F696" s="30"/>
      <c r="G696" s="30"/>
      <c r="H696" s="30"/>
    </row>
    <row r="697" spans="1:8" ht="30.9" customHeight="1" x14ac:dyDescent="0.3">
      <c r="B697" s="27" t="s">
        <v>301</v>
      </c>
      <c r="C697" s="44" t="s">
        <v>544</v>
      </c>
      <c r="D697" s="30"/>
      <c r="E697" s="30"/>
      <c r="F697" s="30"/>
      <c r="G697" s="30"/>
      <c r="H697" s="30"/>
    </row>
    <row r="698" spans="1:8" ht="15.9" customHeight="1" x14ac:dyDescent="0.3">
      <c r="B698" s="43" t="s">
        <v>285</v>
      </c>
      <c r="C698" s="30"/>
      <c r="D698" s="30"/>
      <c r="E698" s="30"/>
      <c r="F698" s="30"/>
      <c r="G698" s="30"/>
      <c r="H698" s="30"/>
    </row>
    <row r="699" spans="1:8" ht="18" customHeight="1" x14ac:dyDescent="0.3">
      <c r="B699" s="27" t="s">
        <v>302</v>
      </c>
      <c r="C699" s="44" t="s">
        <v>526</v>
      </c>
      <c r="D699" s="30"/>
      <c r="E699" s="30"/>
      <c r="F699" s="30"/>
      <c r="G699" s="30"/>
      <c r="H699" s="30"/>
    </row>
    <row r="700" spans="1:8" ht="18" customHeight="1" x14ac:dyDescent="0.3">
      <c r="B700" s="27" t="s">
        <v>303</v>
      </c>
      <c r="C700" s="44" t="s">
        <v>545</v>
      </c>
      <c r="D700" s="30"/>
      <c r="E700" s="30"/>
      <c r="F700" s="30"/>
      <c r="G700" s="30"/>
      <c r="H700" s="30"/>
    </row>
    <row r="701" spans="1:8" ht="18" customHeight="1" x14ac:dyDescent="0.3">
      <c r="B701" s="27" t="s">
        <v>304</v>
      </c>
      <c r="C701" s="44" t="s">
        <v>1095</v>
      </c>
      <c r="D701" s="30"/>
      <c r="E701" s="30"/>
      <c r="F701" s="30"/>
      <c r="G701" s="30"/>
      <c r="H701" s="30"/>
    </row>
    <row r="704" spans="1:8" ht="21.9" customHeight="1" x14ac:dyDescent="0.3">
      <c r="A704" s="45" t="s">
        <v>1119</v>
      </c>
      <c r="B704" s="30"/>
      <c r="C704" s="30"/>
      <c r="D704" s="30"/>
      <c r="E704" s="30"/>
      <c r="F704" s="30"/>
      <c r="G704" s="30"/>
      <c r="H704" s="30"/>
    </row>
    <row r="706" spans="2:8" ht="15.9" customHeight="1" x14ac:dyDescent="0.3">
      <c r="B706" s="43" t="s">
        <v>3</v>
      </c>
      <c r="C706" s="30"/>
      <c r="D706" s="30"/>
      <c r="E706" s="30"/>
      <c r="F706" s="30"/>
      <c r="G706" s="30"/>
      <c r="H706" s="30"/>
    </row>
    <row r="707" spans="2:8" ht="18" customHeight="1" x14ac:dyDescent="0.3">
      <c r="B707" s="27" t="s">
        <v>286</v>
      </c>
      <c r="C707" s="44" t="s">
        <v>545</v>
      </c>
      <c r="D707" s="30"/>
      <c r="E707" s="30"/>
      <c r="F707" s="30"/>
      <c r="G707" s="30"/>
      <c r="H707" s="30"/>
    </row>
    <row r="708" spans="2:8" ht="18" customHeight="1" x14ac:dyDescent="0.3">
      <c r="B708" s="27" t="s">
        <v>287</v>
      </c>
      <c r="C708" s="44" t="s">
        <v>546</v>
      </c>
      <c r="D708" s="30"/>
      <c r="E708" s="30"/>
      <c r="F708" s="30"/>
      <c r="G708" s="30"/>
      <c r="H708" s="30"/>
    </row>
    <row r="709" spans="2:8" ht="18" customHeight="1" x14ac:dyDescent="0.3">
      <c r="B709" s="27" t="s">
        <v>288</v>
      </c>
      <c r="C709" s="44" t="s">
        <v>169</v>
      </c>
      <c r="D709" s="30"/>
      <c r="E709" s="30"/>
      <c r="F709" s="30"/>
      <c r="G709" s="30"/>
      <c r="H709" s="30"/>
    </row>
    <row r="710" spans="2:8" ht="18" customHeight="1" x14ac:dyDescent="0.3">
      <c r="B710" s="27" t="s">
        <v>289</v>
      </c>
      <c r="C710" s="44" t="s">
        <v>1093</v>
      </c>
      <c r="D710" s="30"/>
      <c r="E710" s="30"/>
      <c r="F710" s="30"/>
      <c r="G710" s="30"/>
      <c r="H710" s="30"/>
    </row>
    <row r="711" spans="2:8" ht="18" customHeight="1" x14ac:dyDescent="0.3">
      <c r="B711" s="27" t="s">
        <v>290</v>
      </c>
      <c r="C711" s="44" t="s">
        <v>166</v>
      </c>
      <c r="D711" s="30"/>
      <c r="E711" s="30"/>
      <c r="F711" s="30"/>
      <c r="G711" s="30"/>
      <c r="H711" s="30"/>
    </row>
    <row r="712" spans="2:8" ht="15.9" customHeight="1" x14ac:dyDescent="0.3">
      <c r="B712" s="43" t="s">
        <v>282</v>
      </c>
      <c r="C712" s="30"/>
      <c r="D712" s="30"/>
      <c r="E712" s="30"/>
      <c r="F712" s="30"/>
      <c r="G712" s="30"/>
      <c r="H712" s="30"/>
    </row>
    <row r="713" spans="2:8" ht="18" customHeight="1" x14ac:dyDescent="0.3">
      <c r="B713" s="27" t="s">
        <v>291</v>
      </c>
      <c r="C713" s="44" t="s">
        <v>547</v>
      </c>
      <c r="D713" s="30"/>
      <c r="E713" s="30"/>
      <c r="F713" s="30"/>
      <c r="G713" s="30"/>
      <c r="H713" s="30"/>
    </row>
    <row r="714" spans="2:8" ht="18" customHeight="1" x14ac:dyDescent="0.3">
      <c r="B714" s="27" t="s">
        <v>292</v>
      </c>
      <c r="C714" s="44" t="s">
        <v>529</v>
      </c>
      <c r="D714" s="30"/>
      <c r="E714" s="30"/>
      <c r="F714" s="30"/>
      <c r="G714" s="30"/>
      <c r="H714" s="30"/>
    </row>
    <row r="715" spans="2:8" ht="18" customHeight="1" x14ac:dyDescent="0.3">
      <c r="B715" s="27" t="s">
        <v>293</v>
      </c>
      <c r="C715" s="44" t="s">
        <v>548</v>
      </c>
      <c r="D715" s="30"/>
      <c r="E715" s="30"/>
      <c r="F715" s="30"/>
      <c r="G715" s="30"/>
      <c r="H715" s="30"/>
    </row>
    <row r="716" spans="2:8" ht="15.9" customHeight="1" x14ac:dyDescent="0.3">
      <c r="B716" s="43" t="s">
        <v>283</v>
      </c>
      <c r="C716" s="30"/>
      <c r="D716" s="30"/>
      <c r="E716" s="30"/>
      <c r="F716" s="30"/>
      <c r="G716" s="30"/>
      <c r="H716" s="30"/>
    </row>
    <row r="717" spans="2:8" ht="18" customHeight="1" x14ac:dyDescent="0.3">
      <c r="B717" s="27" t="s">
        <v>294</v>
      </c>
      <c r="C717" s="44" t="s">
        <v>308</v>
      </c>
      <c r="D717" s="30"/>
      <c r="E717" s="30"/>
      <c r="F717" s="30"/>
      <c r="G717" s="30"/>
      <c r="H717" s="30"/>
    </row>
    <row r="718" spans="2:8" ht="18" customHeight="1" x14ac:dyDescent="0.3">
      <c r="B718" s="27" t="s">
        <v>295</v>
      </c>
      <c r="C718" s="44" t="s">
        <v>309</v>
      </c>
      <c r="D718" s="30"/>
      <c r="E718" s="30"/>
      <c r="F718" s="30"/>
      <c r="G718" s="30"/>
      <c r="H718" s="30"/>
    </row>
    <row r="719" spans="2:8" ht="18" customHeight="1" x14ac:dyDescent="0.3">
      <c r="B719" s="27" t="s">
        <v>296</v>
      </c>
      <c r="C719" s="44" t="s">
        <v>310</v>
      </c>
      <c r="D719" s="30"/>
      <c r="E719" s="30"/>
      <c r="F719" s="30"/>
      <c r="G719" s="30"/>
      <c r="H719" s="30"/>
    </row>
    <row r="720" spans="2:8" ht="15.9" customHeight="1" x14ac:dyDescent="0.3">
      <c r="B720" s="43" t="s">
        <v>284</v>
      </c>
      <c r="C720" s="30"/>
      <c r="D720" s="30"/>
      <c r="E720" s="30"/>
      <c r="F720" s="30"/>
      <c r="G720" s="30"/>
      <c r="H720" s="30"/>
    </row>
    <row r="721" spans="1:8" ht="18" customHeight="1" x14ac:dyDescent="0.3">
      <c r="B721" s="27" t="s">
        <v>297</v>
      </c>
      <c r="C721" s="44" t="s">
        <v>549</v>
      </c>
      <c r="D721" s="30"/>
      <c r="E721" s="30"/>
      <c r="F721" s="30"/>
      <c r="G721" s="30"/>
      <c r="H721" s="30"/>
    </row>
    <row r="722" spans="1:8" ht="18" customHeight="1" x14ac:dyDescent="0.3">
      <c r="B722" s="27" t="s">
        <v>298</v>
      </c>
      <c r="C722" s="44" t="s">
        <v>550</v>
      </c>
      <c r="D722" s="30"/>
      <c r="E722" s="30"/>
      <c r="F722" s="30"/>
      <c r="G722" s="30"/>
      <c r="H722" s="30"/>
    </row>
    <row r="723" spans="1:8" ht="42.9" customHeight="1" x14ac:dyDescent="0.3">
      <c r="B723" s="27" t="s">
        <v>299</v>
      </c>
      <c r="C723" s="44" t="s">
        <v>551</v>
      </c>
      <c r="D723" s="30"/>
      <c r="E723" s="30"/>
      <c r="F723" s="30"/>
      <c r="G723" s="30"/>
      <c r="H723" s="30"/>
    </row>
    <row r="724" spans="1:8" ht="30.9" customHeight="1" x14ac:dyDescent="0.3">
      <c r="B724" s="27" t="s">
        <v>300</v>
      </c>
      <c r="C724" s="44" t="s">
        <v>552</v>
      </c>
      <c r="D724" s="30"/>
      <c r="E724" s="30"/>
      <c r="F724" s="30"/>
      <c r="G724" s="30"/>
      <c r="H724" s="30"/>
    </row>
    <row r="725" spans="1:8" ht="30.9" customHeight="1" x14ac:dyDescent="0.3">
      <c r="B725" s="27" t="s">
        <v>301</v>
      </c>
      <c r="C725" s="44" t="s">
        <v>553</v>
      </c>
      <c r="D725" s="30"/>
      <c r="E725" s="30"/>
      <c r="F725" s="30"/>
      <c r="G725" s="30"/>
      <c r="H725" s="30"/>
    </row>
    <row r="726" spans="1:8" ht="15.9" customHeight="1" x14ac:dyDescent="0.3">
      <c r="B726" s="43" t="s">
        <v>285</v>
      </c>
      <c r="C726" s="30"/>
      <c r="D726" s="30"/>
      <c r="E726" s="30"/>
      <c r="F726" s="30"/>
      <c r="G726" s="30"/>
      <c r="H726" s="30"/>
    </row>
    <row r="727" spans="1:8" ht="18" customHeight="1" x14ac:dyDescent="0.3">
      <c r="B727" s="27" t="s">
        <v>302</v>
      </c>
      <c r="C727" s="44" t="s">
        <v>536</v>
      </c>
      <c r="D727" s="30"/>
      <c r="E727" s="30"/>
      <c r="F727" s="30"/>
      <c r="G727" s="30"/>
      <c r="H727" s="30"/>
    </row>
    <row r="728" spans="1:8" ht="18" customHeight="1" x14ac:dyDescent="0.3">
      <c r="B728" s="27" t="s">
        <v>303</v>
      </c>
      <c r="C728" s="44" t="s">
        <v>554</v>
      </c>
      <c r="D728" s="30"/>
      <c r="E728" s="30"/>
      <c r="F728" s="30"/>
      <c r="G728" s="30"/>
      <c r="H728" s="30"/>
    </row>
    <row r="729" spans="1:8" ht="18" customHeight="1" x14ac:dyDescent="0.3">
      <c r="B729" s="27" t="s">
        <v>304</v>
      </c>
      <c r="C729" s="44" t="s">
        <v>1095</v>
      </c>
      <c r="D729" s="30"/>
      <c r="E729" s="30"/>
      <c r="F729" s="30"/>
      <c r="G729" s="30"/>
      <c r="H729" s="30"/>
    </row>
    <row r="732" spans="1:8" ht="21.9" customHeight="1" x14ac:dyDescent="0.3">
      <c r="A732" s="45" t="s">
        <v>1120</v>
      </c>
      <c r="B732" s="30"/>
      <c r="C732" s="30"/>
      <c r="D732" s="30"/>
      <c r="E732" s="30"/>
      <c r="F732" s="30"/>
      <c r="G732" s="30"/>
      <c r="H732" s="30"/>
    </row>
    <row r="734" spans="1:8" ht="15.9" customHeight="1" x14ac:dyDescent="0.3">
      <c r="B734" s="43" t="s">
        <v>3</v>
      </c>
      <c r="C734" s="30"/>
      <c r="D734" s="30"/>
      <c r="E734" s="30"/>
      <c r="F734" s="30"/>
      <c r="G734" s="30"/>
      <c r="H734" s="30"/>
    </row>
    <row r="735" spans="1:8" ht="18" customHeight="1" x14ac:dyDescent="0.3">
      <c r="B735" s="27" t="s">
        <v>286</v>
      </c>
      <c r="C735" s="44" t="s">
        <v>554</v>
      </c>
      <c r="D735" s="30"/>
      <c r="E735" s="30"/>
      <c r="F735" s="30"/>
      <c r="G735" s="30"/>
      <c r="H735" s="30"/>
    </row>
    <row r="736" spans="1:8" ht="18" customHeight="1" x14ac:dyDescent="0.3">
      <c r="B736" s="27" t="s">
        <v>287</v>
      </c>
      <c r="C736" s="44" t="s">
        <v>555</v>
      </c>
      <c r="D736" s="30"/>
      <c r="E736" s="30"/>
      <c r="F736" s="30"/>
      <c r="G736" s="30"/>
      <c r="H736" s="30"/>
    </row>
    <row r="737" spans="2:8" ht="18" customHeight="1" x14ac:dyDescent="0.3">
      <c r="B737" s="27" t="s">
        <v>288</v>
      </c>
      <c r="C737" s="44" t="s">
        <v>169</v>
      </c>
      <c r="D737" s="30"/>
      <c r="E737" s="30"/>
      <c r="F737" s="30"/>
      <c r="G737" s="30"/>
      <c r="H737" s="30"/>
    </row>
    <row r="738" spans="2:8" ht="18" customHeight="1" x14ac:dyDescent="0.3">
      <c r="B738" s="27" t="s">
        <v>289</v>
      </c>
      <c r="C738" s="44" t="s">
        <v>1093</v>
      </c>
      <c r="D738" s="30"/>
      <c r="E738" s="30"/>
      <c r="F738" s="30"/>
      <c r="G738" s="30"/>
      <c r="H738" s="30"/>
    </row>
    <row r="739" spans="2:8" ht="18" customHeight="1" x14ac:dyDescent="0.3">
      <c r="B739" s="27" t="s">
        <v>290</v>
      </c>
      <c r="C739" s="44" t="s">
        <v>166</v>
      </c>
      <c r="D739" s="30"/>
      <c r="E739" s="30"/>
      <c r="F739" s="30"/>
      <c r="G739" s="30"/>
      <c r="H739" s="30"/>
    </row>
    <row r="740" spans="2:8" ht="15.9" customHeight="1" x14ac:dyDescent="0.3">
      <c r="B740" s="43" t="s">
        <v>282</v>
      </c>
      <c r="C740" s="30"/>
      <c r="D740" s="30"/>
      <c r="E740" s="30"/>
      <c r="F740" s="30"/>
      <c r="G740" s="30"/>
      <c r="H740" s="30"/>
    </row>
    <row r="741" spans="2:8" ht="30.9" customHeight="1" x14ac:dyDescent="0.3">
      <c r="B741" s="27" t="s">
        <v>291</v>
      </c>
      <c r="C741" s="44" t="s">
        <v>556</v>
      </c>
      <c r="D741" s="30"/>
      <c r="E741" s="30"/>
      <c r="F741" s="30"/>
      <c r="G741" s="30"/>
      <c r="H741" s="30"/>
    </row>
    <row r="742" spans="2:8" ht="18" customHeight="1" x14ac:dyDescent="0.3">
      <c r="B742" s="27" t="s">
        <v>292</v>
      </c>
      <c r="C742" s="44" t="s">
        <v>306</v>
      </c>
      <c r="D742" s="30"/>
      <c r="E742" s="30"/>
      <c r="F742" s="30"/>
      <c r="G742" s="30"/>
      <c r="H742" s="30"/>
    </row>
    <row r="743" spans="2:8" ht="30.9" customHeight="1" x14ac:dyDescent="0.3">
      <c r="B743" s="27" t="s">
        <v>293</v>
      </c>
      <c r="C743" s="44" t="s">
        <v>557</v>
      </c>
      <c r="D743" s="30"/>
      <c r="E743" s="30"/>
      <c r="F743" s="30"/>
      <c r="G743" s="30"/>
      <c r="H743" s="30"/>
    </row>
    <row r="744" spans="2:8" ht="15.9" customHeight="1" x14ac:dyDescent="0.3">
      <c r="B744" s="43" t="s">
        <v>283</v>
      </c>
      <c r="C744" s="30"/>
      <c r="D744" s="30"/>
      <c r="E744" s="30"/>
      <c r="F744" s="30"/>
      <c r="G744" s="30"/>
      <c r="H744" s="30"/>
    </row>
    <row r="745" spans="2:8" ht="18" customHeight="1" x14ac:dyDescent="0.3">
      <c r="B745" s="27" t="s">
        <v>294</v>
      </c>
      <c r="C745" s="44" t="s">
        <v>308</v>
      </c>
      <c r="D745" s="30"/>
      <c r="E745" s="30"/>
      <c r="F745" s="30"/>
      <c r="G745" s="30"/>
      <c r="H745" s="30"/>
    </row>
    <row r="746" spans="2:8" ht="18" customHeight="1" x14ac:dyDescent="0.3">
      <c r="B746" s="27" t="s">
        <v>295</v>
      </c>
      <c r="C746" s="44" t="s">
        <v>309</v>
      </c>
      <c r="D746" s="30"/>
      <c r="E746" s="30"/>
      <c r="F746" s="30"/>
      <c r="G746" s="30"/>
      <c r="H746" s="30"/>
    </row>
    <row r="747" spans="2:8" ht="18" customHeight="1" x14ac:dyDescent="0.3">
      <c r="B747" s="27" t="s">
        <v>296</v>
      </c>
      <c r="C747" s="44" t="s">
        <v>310</v>
      </c>
      <c r="D747" s="30"/>
      <c r="E747" s="30"/>
      <c r="F747" s="30"/>
      <c r="G747" s="30"/>
      <c r="H747" s="30"/>
    </row>
    <row r="748" spans="2:8" ht="15.9" customHeight="1" x14ac:dyDescent="0.3">
      <c r="B748" s="43" t="s">
        <v>284</v>
      </c>
      <c r="C748" s="30"/>
      <c r="D748" s="30"/>
      <c r="E748" s="30"/>
      <c r="F748" s="30"/>
      <c r="G748" s="30"/>
      <c r="H748" s="30"/>
    </row>
    <row r="749" spans="2:8" ht="18" customHeight="1" x14ac:dyDescent="0.3">
      <c r="B749" s="27" t="s">
        <v>297</v>
      </c>
      <c r="C749" s="44" t="s">
        <v>558</v>
      </c>
      <c r="D749" s="30"/>
      <c r="E749" s="30"/>
      <c r="F749" s="30"/>
      <c r="G749" s="30"/>
      <c r="H749" s="30"/>
    </row>
    <row r="750" spans="2:8" ht="18" customHeight="1" x14ac:dyDescent="0.3">
      <c r="B750" s="27" t="s">
        <v>298</v>
      </c>
      <c r="C750" s="44" t="s">
        <v>559</v>
      </c>
      <c r="D750" s="30"/>
      <c r="E750" s="30"/>
      <c r="F750" s="30"/>
      <c r="G750" s="30"/>
      <c r="H750" s="30"/>
    </row>
    <row r="751" spans="2:8" ht="42.9" customHeight="1" x14ac:dyDescent="0.3">
      <c r="B751" s="27" t="s">
        <v>299</v>
      </c>
      <c r="C751" s="44" t="s">
        <v>560</v>
      </c>
      <c r="D751" s="30"/>
      <c r="E751" s="30"/>
      <c r="F751" s="30"/>
      <c r="G751" s="30"/>
      <c r="H751" s="30"/>
    </row>
    <row r="752" spans="2:8" ht="30.9" customHeight="1" x14ac:dyDescent="0.3">
      <c r="B752" s="27" t="s">
        <v>300</v>
      </c>
      <c r="C752" s="44" t="s">
        <v>561</v>
      </c>
      <c r="D752" s="30"/>
      <c r="E752" s="30"/>
      <c r="F752" s="30"/>
      <c r="G752" s="30"/>
      <c r="H752" s="30"/>
    </row>
    <row r="753" spans="1:8" ht="30.9" customHeight="1" x14ac:dyDescent="0.3">
      <c r="B753" s="27" t="s">
        <v>301</v>
      </c>
      <c r="C753" s="44" t="s">
        <v>562</v>
      </c>
      <c r="D753" s="30"/>
      <c r="E753" s="30"/>
      <c r="F753" s="30"/>
      <c r="G753" s="30"/>
      <c r="H753" s="30"/>
    </row>
    <row r="754" spans="1:8" ht="15.9" customHeight="1" x14ac:dyDescent="0.3">
      <c r="B754" s="43" t="s">
        <v>285</v>
      </c>
      <c r="C754" s="30"/>
      <c r="D754" s="30"/>
      <c r="E754" s="30"/>
      <c r="F754" s="30"/>
      <c r="G754" s="30"/>
      <c r="H754" s="30"/>
    </row>
    <row r="755" spans="1:8" ht="18" customHeight="1" x14ac:dyDescent="0.3">
      <c r="B755" s="27" t="s">
        <v>302</v>
      </c>
      <c r="C755" s="44" t="s">
        <v>545</v>
      </c>
      <c r="D755" s="30"/>
      <c r="E755" s="30"/>
      <c r="F755" s="30"/>
      <c r="G755" s="30"/>
      <c r="H755" s="30"/>
    </row>
    <row r="756" spans="1:8" ht="18" customHeight="1" x14ac:dyDescent="0.3">
      <c r="B756" s="27" t="s">
        <v>303</v>
      </c>
      <c r="C756" s="44" t="s">
        <v>354</v>
      </c>
      <c r="D756" s="30"/>
      <c r="E756" s="30"/>
      <c r="F756" s="30"/>
      <c r="G756" s="30"/>
      <c r="H756" s="30"/>
    </row>
    <row r="757" spans="1:8" ht="18" customHeight="1" x14ac:dyDescent="0.3">
      <c r="B757" s="27" t="s">
        <v>304</v>
      </c>
      <c r="C757" s="44" t="s">
        <v>1095</v>
      </c>
      <c r="D757" s="30"/>
      <c r="E757" s="30"/>
      <c r="F757" s="30"/>
      <c r="G757" s="30"/>
      <c r="H757" s="30"/>
    </row>
    <row r="760" spans="1:8" ht="21.9" customHeight="1" x14ac:dyDescent="0.3">
      <c r="A760" s="45" t="s">
        <v>1121</v>
      </c>
      <c r="B760" s="30"/>
      <c r="C760" s="30"/>
      <c r="D760" s="30"/>
      <c r="E760" s="30"/>
      <c r="F760" s="30"/>
      <c r="G760" s="30"/>
      <c r="H760" s="30"/>
    </row>
    <row r="762" spans="1:8" ht="15.9" customHeight="1" x14ac:dyDescent="0.3">
      <c r="B762" s="43" t="s">
        <v>3</v>
      </c>
      <c r="C762" s="30"/>
      <c r="D762" s="30"/>
      <c r="E762" s="30"/>
      <c r="F762" s="30"/>
      <c r="G762" s="30"/>
      <c r="H762" s="30"/>
    </row>
    <row r="763" spans="1:8" ht="18" customHeight="1" x14ac:dyDescent="0.3">
      <c r="B763" s="27" t="s">
        <v>286</v>
      </c>
      <c r="C763" s="44" t="s">
        <v>563</v>
      </c>
      <c r="D763" s="30"/>
      <c r="E763" s="30"/>
      <c r="F763" s="30"/>
      <c r="G763" s="30"/>
      <c r="H763" s="30"/>
    </row>
    <row r="764" spans="1:8" ht="18" customHeight="1" x14ac:dyDescent="0.3">
      <c r="B764" s="27" t="s">
        <v>287</v>
      </c>
      <c r="C764" s="44" t="s">
        <v>564</v>
      </c>
      <c r="D764" s="30"/>
      <c r="E764" s="30"/>
      <c r="F764" s="30"/>
      <c r="G764" s="30"/>
      <c r="H764" s="30"/>
    </row>
    <row r="765" spans="1:8" ht="18" customHeight="1" x14ac:dyDescent="0.3">
      <c r="B765" s="27" t="s">
        <v>288</v>
      </c>
      <c r="C765" s="44" t="s">
        <v>169</v>
      </c>
      <c r="D765" s="30"/>
      <c r="E765" s="30"/>
      <c r="F765" s="30"/>
      <c r="G765" s="30"/>
      <c r="H765" s="30"/>
    </row>
    <row r="766" spans="1:8" ht="18" customHeight="1" x14ac:dyDescent="0.3">
      <c r="B766" s="27" t="s">
        <v>289</v>
      </c>
      <c r="C766" s="44" t="s">
        <v>1093</v>
      </c>
      <c r="D766" s="30"/>
      <c r="E766" s="30"/>
      <c r="F766" s="30"/>
      <c r="G766" s="30"/>
      <c r="H766" s="30"/>
    </row>
    <row r="767" spans="1:8" ht="18" customHeight="1" x14ac:dyDescent="0.3">
      <c r="B767" s="27" t="s">
        <v>290</v>
      </c>
      <c r="C767" s="44" t="s">
        <v>166</v>
      </c>
      <c r="D767" s="30"/>
      <c r="E767" s="30"/>
      <c r="F767" s="30"/>
      <c r="G767" s="30"/>
      <c r="H767" s="30"/>
    </row>
    <row r="768" spans="1:8" ht="15.9" customHeight="1" x14ac:dyDescent="0.3">
      <c r="B768" s="43" t="s">
        <v>282</v>
      </c>
      <c r="C768" s="30"/>
      <c r="D768" s="30"/>
      <c r="E768" s="30"/>
      <c r="F768" s="30"/>
      <c r="G768" s="30"/>
      <c r="H768" s="30"/>
    </row>
    <row r="769" spans="2:8" ht="30.9" customHeight="1" x14ac:dyDescent="0.3">
      <c r="B769" s="27" t="s">
        <v>291</v>
      </c>
      <c r="C769" s="44" t="s">
        <v>565</v>
      </c>
      <c r="D769" s="30"/>
      <c r="E769" s="30"/>
      <c r="F769" s="30"/>
      <c r="G769" s="30"/>
      <c r="H769" s="30"/>
    </row>
    <row r="770" spans="2:8" ht="18" customHeight="1" x14ac:dyDescent="0.3">
      <c r="B770" s="27" t="s">
        <v>292</v>
      </c>
      <c r="C770" s="44" t="s">
        <v>529</v>
      </c>
      <c r="D770" s="30"/>
      <c r="E770" s="30"/>
      <c r="F770" s="30"/>
      <c r="G770" s="30"/>
      <c r="H770" s="30"/>
    </row>
    <row r="771" spans="2:8" ht="18" customHeight="1" x14ac:dyDescent="0.3">
      <c r="B771" s="27" t="s">
        <v>293</v>
      </c>
      <c r="C771" s="44" t="s">
        <v>566</v>
      </c>
      <c r="D771" s="30"/>
      <c r="E771" s="30"/>
      <c r="F771" s="30"/>
      <c r="G771" s="30"/>
      <c r="H771" s="30"/>
    </row>
    <row r="772" spans="2:8" ht="15.9" customHeight="1" x14ac:dyDescent="0.3">
      <c r="B772" s="43" t="s">
        <v>283</v>
      </c>
      <c r="C772" s="30"/>
      <c r="D772" s="30"/>
      <c r="E772" s="30"/>
      <c r="F772" s="30"/>
      <c r="G772" s="30"/>
      <c r="H772" s="30"/>
    </row>
    <row r="773" spans="2:8" ht="18" customHeight="1" x14ac:dyDescent="0.3">
      <c r="B773" s="27" t="s">
        <v>294</v>
      </c>
      <c r="C773" s="44" t="s">
        <v>308</v>
      </c>
      <c r="D773" s="30"/>
      <c r="E773" s="30"/>
      <c r="F773" s="30"/>
      <c r="G773" s="30"/>
      <c r="H773" s="30"/>
    </row>
    <row r="774" spans="2:8" ht="18" customHeight="1" x14ac:dyDescent="0.3">
      <c r="B774" s="27" t="s">
        <v>295</v>
      </c>
      <c r="C774" s="44" t="s">
        <v>309</v>
      </c>
      <c r="D774" s="30"/>
      <c r="E774" s="30"/>
      <c r="F774" s="30"/>
      <c r="G774" s="30"/>
      <c r="H774" s="30"/>
    </row>
    <row r="775" spans="2:8" ht="18" customHeight="1" x14ac:dyDescent="0.3">
      <c r="B775" s="27" t="s">
        <v>296</v>
      </c>
      <c r="C775" s="44" t="s">
        <v>310</v>
      </c>
      <c r="D775" s="30"/>
      <c r="E775" s="30"/>
      <c r="F775" s="30"/>
      <c r="G775" s="30"/>
      <c r="H775" s="30"/>
    </row>
    <row r="776" spans="2:8" ht="15.9" customHeight="1" x14ac:dyDescent="0.3">
      <c r="B776" s="43" t="s">
        <v>284</v>
      </c>
      <c r="C776" s="30"/>
      <c r="D776" s="30"/>
      <c r="E776" s="30"/>
      <c r="F776" s="30"/>
      <c r="G776" s="30"/>
      <c r="H776" s="30"/>
    </row>
    <row r="777" spans="2:8" ht="18" customHeight="1" x14ac:dyDescent="0.3">
      <c r="B777" s="27" t="s">
        <v>297</v>
      </c>
      <c r="C777" s="44" t="s">
        <v>567</v>
      </c>
      <c r="D777" s="30"/>
      <c r="E777" s="30"/>
      <c r="F777" s="30"/>
      <c r="G777" s="30"/>
      <c r="H777" s="30"/>
    </row>
    <row r="778" spans="2:8" ht="18" customHeight="1" x14ac:dyDescent="0.3">
      <c r="B778" s="27" t="s">
        <v>298</v>
      </c>
      <c r="C778" s="44" t="s">
        <v>568</v>
      </c>
      <c r="D778" s="30"/>
      <c r="E778" s="30"/>
      <c r="F778" s="30"/>
      <c r="G778" s="30"/>
      <c r="H778" s="30"/>
    </row>
    <row r="779" spans="2:8" ht="42.9" customHeight="1" x14ac:dyDescent="0.3">
      <c r="B779" s="27" t="s">
        <v>299</v>
      </c>
      <c r="C779" s="44" t="s">
        <v>569</v>
      </c>
      <c r="D779" s="30"/>
      <c r="E779" s="30"/>
      <c r="F779" s="30"/>
      <c r="G779" s="30"/>
      <c r="H779" s="30"/>
    </row>
    <row r="780" spans="2:8" ht="18" customHeight="1" x14ac:dyDescent="0.3">
      <c r="B780" s="27" t="s">
        <v>300</v>
      </c>
      <c r="C780" s="44" t="s">
        <v>570</v>
      </c>
      <c r="D780" s="30"/>
      <c r="E780" s="30"/>
      <c r="F780" s="30"/>
      <c r="G780" s="30"/>
      <c r="H780" s="30"/>
    </row>
    <row r="781" spans="2:8" ht="18" customHeight="1" x14ac:dyDescent="0.3">
      <c r="B781" s="27" t="s">
        <v>301</v>
      </c>
      <c r="C781" s="44" t="s">
        <v>571</v>
      </c>
      <c r="D781" s="30"/>
      <c r="E781" s="30"/>
      <c r="F781" s="30"/>
      <c r="G781" s="30"/>
      <c r="H781" s="30"/>
    </row>
    <row r="782" spans="2:8" ht="15.9" customHeight="1" x14ac:dyDescent="0.3">
      <c r="B782" s="43" t="s">
        <v>285</v>
      </c>
      <c r="C782" s="30"/>
      <c r="D782" s="30"/>
      <c r="E782" s="30"/>
      <c r="F782" s="30"/>
      <c r="G782" s="30"/>
      <c r="H782" s="30"/>
    </row>
    <row r="783" spans="2:8" ht="18" customHeight="1" x14ac:dyDescent="0.3">
      <c r="B783" s="27" t="s">
        <v>302</v>
      </c>
      <c r="C783" s="44" t="s">
        <v>545</v>
      </c>
      <c r="D783" s="30"/>
      <c r="E783" s="30"/>
      <c r="F783" s="30"/>
      <c r="G783" s="30"/>
      <c r="H783" s="30"/>
    </row>
    <row r="784" spans="2:8" ht="18" customHeight="1" x14ac:dyDescent="0.3">
      <c r="B784" s="27" t="s">
        <v>303</v>
      </c>
      <c r="C784" s="44" t="s">
        <v>572</v>
      </c>
      <c r="D784" s="30"/>
      <c r="E784" s="30"/>
      <c r="F784" s="30"/>
      <c r="G784" s="30"/>
      <c r="H784" s="30"/>
    </row>
    <row r="785" spans="1:8" ht="18" customHeight="1" x14ac:dyDescent="0.3">
      <c r="B785" s="27" t="s">
        <v>304</v>
      </c>
      <c r="C785" s="44" t="s">
        <v>1095</v>
      </c>
      <c r="D785" s="30"/>
      <c r="E785" s="30"/>
      <c r="F785" s="30"/>
      <c r="G785" s="30"/>
      <c r="H785" s="30"/>
    </row>
    <row r="788" spans="1:8" ht="21.9" customHeight="1" x14ac:dyDescent="0.3">
      <c r="A788" s="45" t="s">
        <v>1122</v>
      </c>
      <c r="B788" s="30"/>
      <c r="C788" s="30"/>
      <c r="D788" s="30"/>
      <c r="E788" s="30"/>
      <c r="F788" s="30"/>
      <c r="G788" s="30"/>
      <c r="H788" s="30"/>
    </row>
    <row r="790" spans="1:8" ht="15.9" customHeight="1" x14ac:dyDescent="0.3">
      <c r="B790" s="43" t="s">
        <v>3</v>
      </c>
      <c r="C790" s="30"/>
      <c r="D790" s="30"/>
      <c r="E790" s="30"/>
      <c r="F790" s="30"/>
      <c r="G790" s="30"/>
      <c r="H790" s="30"/>
    </row>
    <row r="791" spans="1:8" ht="18" customHeight="1" x14ac:dyDescent="0.3">
      <c r="B791" s="27" t="s">
        <v>286</v>
      </c>
      <c r="C791" s="44" t="s">
        <v>572</v>
      </c>
      <c r="D791" s="30"/>
      <c r="E791" s="30"/>
      <c r="F791" s="30"/>
      <c r="G791" s="30"/>
      <c r="H791" s="30"/>
    </row>
    <row r="792" spans="1:8" ht="18" customHeight="1" x14ac:dyDescent="0.3">
      <c r="B792" s="27" t="s">
        <v>287</v>
      </c>
      <c r="C792" s="44" t="s">
        <v>573</v>
      </c>
      <c r="D792" s="30"/>
      <c r="E792" s="30"/>
      <c r="F792" s="30"/>
      <c r="G792" s="30"/>
      <c r="H792" s="30"/>
    </row>
    <row r="793" spans="1:8" ht="18" customHeight="1" x14ac:dyDescent="0.3">
      <c r="B793" s="27" t="s">
        <v>288</v>
      </c>
      <c r="C793" s="44" t="s">
        <v>169</v>
      </c>
      <c r="D793" s="30"/>
      <c r="E793" s="30"/>
      <c r="F793" s="30"/>
      <c r="G793" s="30"/>
      <c r="H793" s="30"/>
    </row>
    <row r="794" spans="1:8" ht="18" customHeight="1" x14ac:dyDescent="0.3">
      <c r="B794" s="27" t="s">
        <v>289</v>
      </c>
      <c r="C794" s="44" t="s">
        <v>1093</v>
      </c>
      <c r="D794" s="30"/>
      <c r="E794" s="30"/>
      <c r="F794" s="30"/>
      <c r="G794" s="30"/>
      <c r="H794" s="30"/>
    </row>
    <row r="795" spans="1:8" ht="18" customHeight="1" x14ac:dyDescent="0.3">
      <c r="B795" s="27" t="s">
        <v>290</v>
      </c>
      <c r="C795" s="44" t="s">
        <v>166</v>
      </c>
      <c r="D795" s="30"/>
      <c r="E795" s="30"/>
      <c r="F795" s="30"/>
      <c r="G795" s="30"/>
      <c r="H795" s="30"/>
    </row>
    <row r="796" spans="1:8" ht="15.9" customHeight="1" x14ac:dyDescent="0.3">
      <c r="B796" s="43" t="s">
        <v>282</v>
      </c>
      <c r="C796" s="30"/>
      <c r="D796" s="30"/>
      <c r="E796" s="30"/>
      <c r="F796" s="30"/>
      <c r="G796" s="30"/>
      <c r="H796" s="30"/>
    </row>
    <row r="797" spans="1:8" ht="30.9" customHeight="1" x14ac:dyDescent="0.3">
      <c r="B797" s="27" t="s">
        <v>291</v>
      </c>
      <c r="C797" s="44" t="s">
        <v>574</v>
      </c>
      <c r="D797" s="30"/>
      <c r="E797" s="30"/>
      <c r="F797" s="30"/>
      <c r="G797" s="30"/>
      <c r="H797" s="30"/>
    </row>
    <row r="798" spans="1:8" ht="18" customHeight="1" x14ac:dyDescent="0.3">
      <c r="B798" s="27" t="s">
        <v>292</v>
      </c>
      <c r="C798" s="44" t="s">
        <v>529</v>
      </c>
      <c r="D798" s="30"/>
      <c r="E798" s="30"/>
      <c r="F798" s="30"/>
      <c r="G798" s="30"/>
      <c r="H798" s="30"/>
    </row>
    <row r="799" spans="1:8" ht="30.9" customHeight="1" x14ac:dyDescent="0.3">
      <c r="B799" s="27" t="s">
        <v>293</v>
      </c>
      <c r="C799" s="44" t="s">
        <v>575</v>
      </c>
      <c r="D799" s="30"/>
      <c r="E799" s="30"/>
      <c r="F799" s="30"/>
      <c r="G799" s="30"/>
      <c r="H799" s="30"/>
    </row>
    <row r="800" spans="1:8" ht="15.9" customHeight="1" x14ac:dyDescent="0.3">
      <c r="B800" s="43" t="s">
        <v>283</v>
      </c>
      <c r="C800" s="30"/>
      <c r="D800" s="30"/>
      <c r="E800" s="30"/>
      <c r="F800" s="30"/>
      <c r="G800" s="30"/>
      <c r="H800" s="30"/>
    </row>
    <row r="801" spans="1:8" ht="18" customHeight="1" x14ac:dyDescent="0.3">
      <c r="B801" s="27" t="s">
        <v>294</v>
      </c>
      <c r="C801" s="44" t="s">
        <v>308</v>
      </c>
      <c r="D801" s="30"/>
      <c r="E801" s="30"/>
      <c r="F801" s="30"/>
      <c r="G801" s="30"/>
      <c r="H801" s="30"/>
    </row>
    <row r="802" spans="1:8" ht="18" customHeight="1" x14ac:dyDescent="0.3">
      <c r="B802" s="27" t="s">
        <v>295</v>
      </c>
      <c r="C802" s="44" t="s">
        <v>309</v>
      </c>
      <c r="D802" s="30"/>
      <c r="E802" s="30"/>
      <c r="F802" s="30"/>
      <c r="G802" s="30"/>
      <c r="H802" s="30"/>
    </row>
    <row r="803" spans="1:8" ht="18" customHeight="1" x14ac:dyDescent="0.3">
      <c r="B803" s="27" t="s">
        <v>296</v>
      </c>
      <c r="C803" s="44" t="s">
        <v>310</v>
      </c>
      <c r="D803" s="30"/>
      <c r="E803" s="30"/>
      <c r="F803" s="30"/>
      <c r="G803" s="30"/>
      <c r="H803" s="30"/>
    </row>
    <row r="804" spans="1:8" ht="15.9" customHeight="1" x14ac:dyDescent="0.3">
      <c r="B804" s="43" t="s">
        <v>284</v>
      </c>
      <c r="C804" s="30"/>
      <c r="D804" s="30"/>
      <c r="E804" s="30"/>
      <c r="F804" s="30"/>
      <c r="G804" s="30"/>
      <c r="H804" s="30"/>
    </row>
    <row r="805" spans="1:8" ht="18" customHeight="1" x14ac:dyDescent="0.3">
      <c r="B805" s="27" t="s">
        <v>297</v>
      </c>
      <c r="C805" s="44" t="s">
        <v>576</v>
      </c>
      <c r="D805" s="30"/>
      <c r="E805" s="30"/>
      <c r="F805" s="30"/>
      <c r="G805" s="30"/>
      <c r="H805" s="30"/>
    </row>
    <row r="806" spans="1:8" ht="18" customHeight="1" x14ac:dyDescent="0.3">
      <c r="B806" s="27" t="s">
        <v>298</v>
      </c>
      <c r="C806" s="44" t="s">
        <v>577</v>
      </c>
      <c r="D806" s="30"/>
      <c r="E806" s="30"/>
      <c r="F806" s="30"/>
      <c r="G806" s="30"/>
      <c r="H806" s="30"/>
    </row>
    <row r="807" spans="1:8" ht="42.9" customHeight="1" x14ac:dyDescent="0.3">
      <c r="B807" s="27" t="s">
        <v>299</v>
      </c>
      <c r="C807" s="44" t="s">
        <v>578</v>
      </c>
      <c r="D807" s="30"/>
      <c r="E807" s="30"/>
      <c r="F807" s="30"/>
      <c r="G807" s="30"/>
      <c r="H807" s="30"/>
    </row>
    <row r="808" spans="1:8" ht="18" customHeight="1" x14ac:dyDescent="0.3">
      <c r="B808" s="27" t="s">
        <v>300</v>
      </c>
      <c r="C808" s="44" t="s">
        <v>579</v>
      </c>
      <c r="D808" s="30"/>
      <c r="E808" s="30"/>
      <c r="F808" s="30"/>
      <c r="G808" s="30"/>
      <c r="H808" s="30"/>
    </row>
    <row r="809" spans="1:8" ht="30.9" customHeight="1" x14ac:dyDescent="0.3">
      <c r="B809" s="27" t="s">
        <v>301</v>
      </c>
      <c r="C809" s="44" t="s">
        <v>580</v>
      </c>
      <c r="D809" s="30"/>
      <c r="E809" s="30"/>
      <c r="F809" s="30"/>
      <c r="G809" s="30"/>
      <c r="H809" s="30"/>
    </row>
    <row r="810" spans="1:8" ht="15.9" customHeight="1" x14ac:dyDescent="0.3">
      <c r="B810" s="43" t="s">
        <v>285</v>
      </c>
      <c r="C810" s="30"/>
      <c r="D810" s="30"/>
      <c r="E810" s="30"/>
      <c r="F810" s="30"/>
      <c r="G810" s="30"/>
      <c r="H810" s="30"/>
    </row>
    <row r="811" spans="1:8" ht="18" customHeight="1" x14ac:dyDescent="0.3">
      <c r="B811" s="27" t="s">
        <v>302</v>
      </c>
      <c r="C811" s="44" t="s">
        <v>563</v>
      </c>
      <c r="D811" s="30"/>
      <c r="E811" s="30"/>
      <c r="F811" s="30"/>
      <c r="G811" s="30"/>
      <c r="H811" s="30"/>
    </row>
    <row r="812" spans="1:8" ht="18" customHeight="1" x14ac:dyDescent="0.3">
      <c r="B812" s="27" t="s">
        <v>303</v>
      </c>
      <c r="C812" s="44" t="s">
        <v>581</v>
      </c>
      <c r="D812" s="30"/>
      <c r="E812" s="30"/>
      <c r="F812" s="30"/>
      <c r="G812" s="30"/>
      <c r="H812" s="30"/>
    </row>
    <row r="813" spans="1:8" ht="18" customHeight="1" x14ac:dyDescent="0.3">
      <c r="B813" s="27" t="s">
        <v>304</v>
      </c>
      <c r="C813" s="44" t="s">
        <v>1095</v>
      </c>
      <c r="D813" s="30"/>
      <c r="E813" s="30"/>
      <c r="F813" s="30"/>
      <c r="G813" s="30"/>
      <c r="H813" s="30"/>
    </row>
    <row r="816" spans="1:8" ht="21.9" customHeight="1" x14ac:dyDescent="0.3">
      <c r="A816" s="45" t="s">
        <v>1123</v>
      </c>
      <c r="B816" s="30"/>
      <c r="C816" s="30"/>
      <c r="D816" s="30"/>
      <c r="E816" s="30"/>
      <c r="F816" s="30"/>
      <c r="G816" s="30"/>
      <c r="H816" s="30"/>
    </row>
    <row r="818" spans="2:8" ht="15.9" customHeight="1" x14ac:dyDescent="0.3">
      <c r="B818" s="43" t="s">
        <v>3</v>
      </c>
      <c r="C818" s="30"/>
      <c r="D818" s="30"/>
      <c r="E818" s="30"/>
      <c r="F818" s="30"/>
      <c r="G818" s="30"/>
      <c r="H818" s="30"/>
    </row>
    <row r="819" spans="2:8" ht="18" customHeight="1" x14ac:dyDescent="0.3">
      <c r="B819" s="27" t="s">
        <v>286</v>
      </c>
      <c r="C819" s="44" t="s">
        <v>581</v>
      </c>
      <c r="D819" s="30"/>
      <c r="E819" s="30"/>
      <c r="F819" s="30"/>
      <c r="G819" s="30"/>
      <c r="H819" s="30"/>
    </row>
    <row r="820" spans="2:8" ht="18" customHeight="1" x14ac:dyDescent="0.3">
      <c r="B820" s="27" t="s">
        <v>287</v>
      </c>
      <c r="C820" s="44" t="s">
        <v>582</v>
      </c>
      <c r="D820" s="30"/>
      <c r="E820" s="30"/>
      <c r="F820" s="30"/>
      <c r="G820" s="30"/>
      <c r="H820" s="30"/>
    </row>
    <row r="821" spans="2:8" ht="18" customHeight="1" x14ac:dyDescent="0.3">
      <c r="B821" s="27" t="s">
        <v>288</v>
      </c>
      <c r="C821" s="44" t="s">
        <v>169</v>
      </c>
      <c r="D821" s="30"/>
      <c r="E821" s="30"/>
      <c r="F821" s="30"/>
      <c r="G821" s="30"/>
      <c r="H821" s="30"/>
    </row>
    <row r="822" spans="2:8" ht="18" customHeight="1" x14ac:dyDescent="0.3">
      <c r="B822" s="27" t="s">
        <v>289</v>
      </c>
      <c r="C822" s="44" t="s">
        <v>1093</v>
      </c>
      <c r="D822" s="30"/>
      <c r="E822" s="30"/>
      <c r="F822" s="30"/>
      <c r="G822" s="30"/>
      <c r="H822" s="30"/>
    </row>
    <row r="823" spans="2:8" ht="18" customHeight="1" x14ac:dyDescent="0.3">
      <c r="B823" s="27" t="s">
        <v>290</v>
      </c>
      <c r="C823" s="44" t="s">
        <v>166</v>
      </c>
      <c r="D823" s="30"/>
      <c r="E823" s="30"/>
      <c r="F823" s="30"/>
      <c r="G823" s="30"/>
      <c r="H823" s="30"/>
    </row>
    <row r="824" spans="2:8" ht="15.9" customHeight="1" x14ac:dyDescent="0.3">
      <c r="B824" s="43" t="s">
        <v>282</v>
      </c>
      <c r="C824" s="30"/>
      <c r="D824" s="30"/>
      <c r="E824" s="30"/>
      <c r="F824" s="30"/>
      <c r="G824" s="30"/>
      <c r="H824" s="30"/>
    </row>
    <row r="825" spans="2:8" ht="18" customHeight="1" x14ac:dyDescent="0.3">
      <c r="B825" s="27" t="s">
        <v>291</v>
      </c>
      <c r="C825" s="44" t="s">
        <v>583</v>
      </c>
      <c r="D825" s="30"/>
      <c r="E825" s="30"/>
      <c r="F825" s="30"/>
      <c r="G825" s="30"/>
      <c r="H825" s="30"/>
    </row>
    <row r="826" spans="2:8" ht="18" customHeight="1" x14ac:dyDescent="0.3">
      <c r="B826" s="27" t="s">
        <v>292</v>
      </c>
      <c r="C826" s="44" t="s">
        <v>529</v>
      </c>
      <c r="D826" s="30"/>
      <c r="E826" s="30"/>
      <c r="F826" s="30"/>
      <c r="G826" s="30"/>
      <c r="H826" s="30"/>
    </row>
    <row r="827" spans="2:8" ht="30.9" customHeight="1" x14ac:dyDescent="0.3">
      <c r="B827" s="27" t="s">
        <v>293</v>
      </c>
      <c r="C827" s="44" t="s">
        <v>584</v>
      </c>
      <c r="D827" s="30"/>
      <c r="E827" s="30"/>
      <c r="F827" s="30"/>
      <c r="G827" s="30"/>
      <c r="H827" s="30"/>
    </row>
    <row r="828" spans="2:8" ht="15.9" customHeight="1" x14ac:dyDescent="0.3">
      <c r="B828" s="43" t="s">
        <v>283</v>
      </c>
      <c r="C828" s="30"/>
      <c r="D828" s="30"/>
      <c r="E828" s="30"/>
      <c r="F828" s="30"/>
      <c r="G828" s="30"/>
      <c r="H828" s="30"/>
    </row>
    <row r="829" spans="2:8" ht="18" customHeight="1" x14ac:dyDescent="0.3">
      <c r="B829" s="27" t="s">
        <v>294</v>
      </c>
      <c r="C829" s="44" t="s">
        <v>308</v>
      </c>
      <c r="D829" s="30"/>
      <c r="E829" s="30"/>
      <c r="F829" s="30"/>
      <c r="G829" s="30"/>
      <c r="H829" s="30"/>
    </row>
    <row r="830" spans="2:8" ht="18" customHeight="1" x14ac:dyDescent="0.3">
      <c r="B830" s="27" t="s">
        <v>295</v>
      </c>
      <c r="C830" s="44" t="s">
        <v>309</v>
      </c>
      <c r="D830" s="30"/>
      <c r="E830" s="30"/>
      <c r="F830" s="30"/>
      <c r="G830" s="30"/>
      <c r="H830" s="30"/>
    </row>
    <row r="831" spans="2:8" ht="18" customHeight="1" x14ac:dyDescent="0.3">
      <c r="B831" s="27" t="s">
        <v>296</v>
      </c>
      <c r="C831" s="44" t="s">
        <v>310</v>
      </c>
      <c r="D831" s="30"/>
      <c r="E831" s="30"/>
      <c r="F831" s="30"/>
      <c r="G831" s="30"/>
      <c r="H831" s="30"/>
    </row>
    <row r="832" spans="2:8" ht="15.9" customHeight="1" x14ac:dyDescent="0.3">
      <c r="B832" s="43" t="s">
        <v>284</v>
      </c>
      <c r="C832" s="30"/>
      <c r="D832" s="30"/>
      <c r="E832" s="30"/>
      <c r="F832" s="30"/>
      <c r="G832" s="30"/>
      <c r="H832" s="30"/>
    </row>
    <row r="833" spans="1:8" ht="18" customHeight="1" x14ac:dyDescent="0.3">
      <c r="B833" s="27" t="s">
        <v>297</v>
      </c>
      <c r="C833" s="44" t="s">
        <v>585</v>
      </c>
      <c r="D833" s="30"/>
      <c r="E833" s="30"/>
      <c r="F833" s="30"/>
      <c r="G833" s="30"/>
      <c r="H833" s="30"/>
    </row>
    <row r="834" spans="1:8" ht="18" customHeight="1" x14ac:dyDescent="0.3">
      <c r="B834" s="27" t="s">
        <v>298</v>
      </c>
      <c r="C834" s="44" t="s">
        <v>424</v>
      </c>
      <c r="D834" s="30"/>
      <c r="E834" s="30"/>
      <c r="F834" s="30"/>
      <c r="G834" s="30"/>
      <c r="H834" s="30"/>
    </row>
    <row r="835" spans="1:8" ht="42.9" customHeight="1" x14ac:dyDescent="0.3">
      <c r="B835" s="27" t="s">
        <v>299</v>
      </c>
      <c r="C835" s="44" t="s">
        <v>586</v>
      </c>
      <c r="D835" s="30"/>
      <c r="E835" s="30"/>
      <c r="F835" s="30"/>
      <c r="G835" s="30"/>
      <c r="H835" s="30"/>
    </row>
    <row r="836" spans="1:8" ht="30.9" customHeight="1" x14ac:dyDescent="0.3">
      <c r="B836" s="27" t="s">
        <v>300</v>
      </c>
      <c r="C836" s="44" t="s">
        <v>587</v>
      </c>
      <c r="D836" s="30"/>
      <c r="E836" s="30"/>
      <c r="F836" s="30"/>
      <c r="G836" s="30"/>
      <c r="H836" s="30"/>
    </row>
    <row r="837" spans="1:8" ht="30.9" customHeight="1" x14ac:dyDescent="0.3">
      <c r="B837" s="27" t="s">
        <v>301</v>
      </c>
      <c r="C837" s="44" t="s">
        <v>588</v>
      </c>
      <c r="D837" s="30"/>
      <c r="E837" s="30"/>
      <c r="F837" s="30"/>
      <c r="G837" s="30"/>
      <c r="H837" s="30"/>
    </row>
    <row r="838" spans="1:8" ht="15.9" customHeight="1" x14ac:dyDescent="0.3">
      <c r="B838" s="43" t="s">
        <v>285</v>
      </c>
      <c r="C838" s="30"/>
      <c r="D838" s="30"/>
      <c r="E838" s="30"/>
      <c r="F838" s="30"/>
      <c r="G838" s="30"/>
      <c r="H838" s="30"/>
    </row>
    <row r="839" spans="1:8" ht="18" customHeight="1" x14ac:dyDescent="0.3">
      <c r="B839" s="27" t="s">
        <v>302</v>
      </c>
      <c r="C839" s="44" t="s">
        <v>572</v>
      </c>
      <c r="D839" s="30"/>
      <c r="E839" s="30"/>
      <c r="F839" s="30"/>
      <c r="G839" s="30"/>
      <c r="H839" s="30"/>
    </row>
    <row r="840" spans="1:8" ht="18" customHeight="1" x14ac:dyDescent="0.3">
      <c r="B840" s="27" t="s">
        <v>303</v>
      </c>
      <c r="C840" s="44" t="s">
        <v>589</v>
      </c>
      <c r="D840" s="30"/>
      <c r="E840" s="30"/>
      <c r="F840" s="30"/>
      <c r="G840" s="30"/>
      <c r="H840" s="30"/>
    </row>
    <row r="841" spans="1:8" ht="18" customHeight="1" x14ac:dyDescent="0.3">
      <c r="B841" s="27" t="s">
        <v>304</v>
      </c>
      <c r="C841" s="44" t="s">
        <v>1095</v>
      </c>
      <c r="D841" s="30"/>
      <c r="E841" s="30"/>
      <c r="F841" s="30"/>
      <c r="G841" s="30"/>
      <c r="H841" s="30"/>
    </row>
    <row r="844" spans="1:8" ht="21.9" customHeight="1" x14ac:dyDescent="0.3">
      <c r="A844" s="45" t="s">
        <v>1124</v>
      </c>
      <c r="B844" s="30"/>
      <c r="C844" s="30"/>
      <c r="D844" s="30"/>
      <c r="E844" s="30"/>
      <c r="F844" s="30"/>
      <c r="G844" s="30"/>
      <c r="H844" s="30"/>
    </row>
    <row r="846" spans="1:8" ht="15.9" customHeight="1" x14ac:dyDescent="0.3">
      <c r="B846" s="43" t="s">
        <v>3</v>
      </c>
      <c r="C846" s="30"/>
      <c r="D846" s="30"/>
      <c r="E846" s="30"/>
      <c r="F846" s="30"/>
      <c r="G846" s="30"/>
      <c r="H846" s="30"/>
    </row>
    <row r="847" spans="1:8" ht="18" customHeight="1" x14ac:dyDescent="0.3">
      <c r="B847" s="27" t="s">
        <v>286</v>
      </c>
      <c r="C847" s="44" t="s">
        <v>589</v>
      </c>
      <c r="D847" s="30"/>
      <c r="E847" s="30"/>
      <c r="F847" s="30"/>
      <c r="G847" s="30"/>
      <c r="H847" s="30"/>
    </row>
    <row r="848" spans="1:8" ht="18" customHeight="1" x14ac:dyDescent="0.3">
      <c r="B848" s="27" t="s">
        <v>287</v>
      </c>
      <c r="C848" s="44" t="s">
        <v>590</v>
      </c>
      <c r="D848" s="30"/>
      <c r="E848" s="30"/>
      <c r="F848" s="30"/>
      <c r="G848" s="30"/>
      <c r="H848" s="30"/>
    </row>
    <row r="849" spans="2:8" ht="18" customHeight="1" x14ac:dyDescent="0.3">
      <c r="B849" s="27" t="s">
        <v>288</v>
      </c>
      <c r="C849" s="44" t="s">
        <v>169</v>
      </c>
      <c r="D849" s="30"/>
      <c r="E849" s="30"/>
      <c r="F849" s="30"/>
      <c r="G849" s="30"/>
      <c r="H849" s="30"/>
    </row>
    <row r="850" spans="2:8" ht="18" customHeight="1" x14ac:dyDescent="0.3">
      <c r="B850" s="27" t="s">
        <v>289</v>
      </c>
      <c r="C850" s="44" t="s">
        <v>1093</v>
      </c>
      <c r="D850" s="30"/>
      <c r="E850" s="30"/>
      <c r="F850" s="30"/>
      <c r="G850" s="30"/>
      <c r="H850" s="30"/>
    </row>
    <row r="851" spans="2:8" ht="18" customHeight="1" x14ac:dyDescent="0.3">
      <c r="B851" s="27" t="s">
        <v>290</v>
      </c>
      <c r="C851" s="44" t="s">
        <v>166</v>
      </c>
      <c r="D851" s="30"/>
      <c r="E851" s="30"/>
      <c r="F851" s="30"/>
      <c r="G851" s="30"/>
      <c r="H851" s="30"/>
    </row>
    <row r="852" spans="2:8" ht="15.9" customHeight="1" x14ac:dyDescent="0.3">
      <c r="B852" s="43" t="s">
        <v>282</v>
      </c>
      <c r="C852" s="30"/>
      <c r="D852" s="30"/>
      <c r="E852" s="30"/>
      <c r="F852" s="30"/>
      <c r="G852" s="30"/>
      <c r="H852" s="30"/>
    </row>
    <row r="853" spans="2:8" ht="30.9" customHeight="1" x14ac:dyDescent="0.3">
      <c r="B853" s="27" t="s">
        <v>291</v>
      </c>
      <c r="C853" s="44" t="s">
        <v>591</v>
      </c>
      <c r="D853" s="30"/>
      <c r="E853" s="30"/>
      <c r="F853" s="30"/>
      <c r="G853" s="30"/>
      <c r="H853" s="30"/>
    </row>
    <row r="854" spans="2:8" ht="18" customHeight="1" x14ac:dyDescent="0.3">
      <c r="B854" s="27" t="s">
        <v>292</v>
      </c>
      <c r="C854" s="44" t="s">
        <v>529</v>
      </c>
      <c r="D854" s="30"/>
      <c r="E854" s="30"/>
      <c r="F854" s="30"/>
      <c r="G854" s="30"/>
      <c r="H854" s="30"/>
    </row>
    <row r="855" spans="2:8" ht="18" customHeight="1" x14ac:dyDescent="0.3">
      <c r="B855" s="27" t="s">
        <v>293</v>
      </c>
      <c r="C855" s="44" t="s">
        <v>592</v>
      </c>
      <c r="D855" s="30"/>
      <c r="E855" s="30"/>
      <c r="F855" s="30"/>
      <c r="G855" s="30"/>
      <c r="H855" s="30"/>
    </row>
    <row r="856" spans="2:8" ht="15.9" customHeight="1" x14ac:dyDescent="0.3">
      <c r="B856" s="43" t="s">
        <v>283</v>
      </c>
      <c r="C856" s="30"/>
      <c r="D856" s="30"/>
      <c r="E856" s="30"/>
      <c r="F856" s="30"/>
      <c r="G856" s="30"/>
      <c r="H856" s="30"/>
    </row>
    <row r="857" spans="2:8" ht="18" customHeight="1" x14ac:dyDescent="0.3">
      <c r="B857" s="27" t="s">
        <v>294</v>
      </c>
      <c r="C857" s="44" t="s">
        <v>308</v>
      </c>
      <c r="D857" s="30"/>
      <c r="E857" s="30"/>
      <c r="F857" s="30"/>
      <c r="G857" s="30"/>
      <c r="H857" s="30"/>
    </row>
    <row r="858" spans="2:8" ht="18" customHeight="1" x14ac:dyDescent="0.3">
      <c r="B858" s="27" t="s">
        <v>295</v>
      </c>
      <c r="C858" s="44" t="s">
        <v>309</v>
      </c>
      <c r="D858" s="30"/>
      <c r="E858" s="30"/>
      <c r="F858" s="30"/>
      <c r="G858" s="30"/>
      <c r="H858" s="30"/>
    </row>
    <row r="859" spans="2:8" ht="18" customHeight="1" x14ac:dyDescent="0.3">
      <c r="B859" s="27" t="s">
        <v>296</v>
      </c>
      <c r="C859" s="44" t="s">
        <v>310</v>
      </c>
      <c r="D859" s="30"/>
      <c r="E859" s="30"/>
      <c r="F859" s="30"/>
      <c r="G859" s="30"/>
      <c r="H859" s="30"/>
    </row>
    <row r="860" spans="2:8" ht="15.9" customHeight="1" x14ac:dyDescent="0.3">
      <c r="B860" s="43" t="s">
        <v>284</v>
      </c>
      <c r="C860" s="30"/>
      <c r="D860" s="30"/>
      <c r="E860" s="30"/>
      <c r="F860" s="30"/>
      <c r="G860" s="30"/>
      <c r="H860" s="30"/>
    </row>
    <row r="861" spans="2:8" ht="18" customHeight="1" x14ac:dyDescent="0.3">
      <c r="B861" s="27" t="s">
        <v>297</v>
      </c>
      <c r="C861" s="44" t="s">
        <v>593</v>
      </c>
      <c r="D861" s="30"/>
      <c r="E861" s="30"/>
      <c r="F861" s="30"/>
      <c r="G861" s="30"/>
      <c r="H861" s="30"/>
    </row>
    <row r="862" spans="2:8" ht="18" customHeight="1" x14ac:dyDescent="0.3">
      <c r="B862" s="27" t="s">
        <v>298</v>
      </c>
      <c r="C862" s="44" t="s">
        <v>594</v>
      </c>
      <c r="D862" s="30"/>
      <c r="E862" s="30"/>
      <c r="F862" s="30"/>
      <c r="G862" s="30"/>
      <c r="H862" s="30"/>
    </row>
    <row r="863" spans="2:8" ht="42.9" customHeight="1" x14ac:dyDescent="0.3">
      <c r="B863" s="27" t="s">
        <v>299</v>
      </c>
      <c r="C863" s="44" t="s">
        <v>595</v>
      </c>
      <c r="D863" s="30"/>
      <c r="E863" s="30"/>
      <c r="F863" s="30"/>
      <c r="G863" s="30"/>
      <c r="H863" s="30"/>
    </row>
    <row r="864" spans="2:8" ht="30.9" customHeight="1" x14ac:dyDescent="0.3">
      <c r="B864" s="27" t="s">
        <v>300</v>
      </c>
      <c r="C864" s="44" t="s">
        <v>596</v>
      </c>
      <c r="D864" s="30"/>
      <c r="E864" s="30"/>
      <c r="F864" s="30"/>
      <c r="G864" s="30"/>
      <c r="H864" s="30"/>
    </row>
    <row r="865" spans="1:8" ht="30.9" customHeight="1" x14ac:dyDescent="0.3">
      <c r="B865" s="27" t="s">
        <v>301</v>
      </c>
      <c r="C865" s="44" t="s">
        <v>597</v>
      </c>
      <c r="D865" s="30"/>
      <c r="E865" s="30"/>
      <c r="F865" s="30"/>
      <c r="G865" s="30"/>
      <c r="H865" s="30"/>
    </row>
    <row r="866" spans="1:8" ht="15.9" customHeight="1" x14ac:dyDescent="0.3">
      <c r="B866" s="43" t="s">
        <v>285</v>
      </c>
      <c r="C866" s="30"/>
      <c r="D866" s="30"/>
      <c r="E866" s="30"/>
      <c r="F866" s="30"/>
      <c r="G866" s="30"/>
      <c r="H866" s="30"/>
    </row>
    <row r="867" spans="1:8" ht="18" customHeight="1" x14ac:dyDescent="0.3">
      <c r="B867" s="27" t="s">
        <v>302</v>
      </c>
      <c r="C867" s="44" t="s">
        <v>598</v>
      </c>
      <c r="D867" s="30"/>
      <c r="E867" s="30"/>
      <c r="F867" s="30"/>
      <c r="G867" s="30"/>
      <c r="H867" s="30"/>
    </row>
    <row r="868" spans="1:8" ht="18" customHeight="1" x14ac:dyDescent="0.3">
      <c r="B868" s="27" t="s">
        <v>303</v>
      </c>
      <c r="C868" s="44" t="s">
        <v>599</v>
      </c>
      <c r="D868" s="30"/>
      <c r="E868" s="30"/>
      <c r="F868" s="30"/>
      <c r="G868" s="30"/>
      <c r="H868" s="30"/>
    </row>
    <row r="869" spans="1:8" ht="18" customHeight="1" x14ac:dyDescent="0.3">
      <c r="B869" s="27" t="s">
        <v>304</v>
      </c>
      <c r="C869" s="44" t="s">
        <v>1095</v>
      </c>
      <c r="D869" s="30"/>
      <c r="E869" s="30"/>
      <c r="F869" s="30"/>
      <c r="G869" s="30"/>
      <c r="H869" s="30"/>
    </row>
    <row r="872" spans="1:8" ht="21.9" customHeight="1" x14ac:dyDescent="0.3">
      <c r="A872" s="45" t="s">
        <v>1125</v>
      </c>
      <c r="B872" s="30"/>
      <c r="C872" s="30"/>
      <c r="D872" s="30"/>
      <c r="E872" s="30"/>
      <c r="F872" s="30"/>
      <c r="G872" s="30"/>
      <c r="H872" s="30"/>
    </row>
    <row r="874" spans="1:8" ht="15.9" customHeight="1" x14ac:dyDescent="0.3">
      <c r="B874" s="43" t="s">
        <v>3</v>
      </c>
      <c r="C874" s="30"/>
      <c r="D874" s="30"/>
      <c r="E874" s="30"/>
      <c r="F874" s="30"/>
      <c r="G874" s="30"/>
      <c r="H874" s="30"/>
    </row>
    <row r="875" spans="1:8" ht="18" customHeight="1" x14ac:dyDescent="0.3">
      <c r="B875" s="27" t="s">
        <v>286</v>
      </c>
      <c r="C875" s="44" t="s">
        <v>599</v>
      </c>
      <c r="D875" s="30"/>
      <c r="E875" s="30"/>
      <c r="F875" s="30"/>
      <c r="G875" s="30"/>
      <c r="H875" s="30"/>
    </row>
    <row r="876" spans="1:8" ht="18" customHeight="1" x14ac:dyDescent="0.3">
      <c r="B876" s="27" t="s">
        <v>287</v>
      </c>
      <c r="C876" s="44" t="s">
        <v>12</v>
      </c>
      <c r="D876" s="30"/>
      <c r="E876" s="30"/>
      <c r="F876" s="30"/>
      <c r="G876" s="30"/>
      <c r="H876" s="30"/>
    </row>
    <row r="877" spans="1:8" ht="18" customHeight="1" x14ac:dyDescent="0.3">
      <c r="B877" s="27" t="s">
        <v>288</v>
      </c>
      <c r="C877" s="44" t="s">
        <v>169</v>
      </c>
      <c r="D877" s="30"/>
      <c r="E877" s="30"/>
      <c r="F877" s="30"/>
      <c r="G877" s="30"/>
      <c r="H877" s="30"/>
    </row>
    <row r="878" spans="1:8" ht="18" customHeight="1" x14ac:dyDescent="0.3">
      <c r="B878" s="27" t="s">
        <v>289</v>
      </c>
      <c r="C878" s="44" t="s">
        <v>1093</v>
      </c>
      <c r="D878" s="30"/>
      <c r="E878" s="30"/>
      <c r="F878" s="30"/>
      <c r="G878" s="30"/>
      <c r="H878" s="30"/>
    </row>
    <row r="879" spans="1:8" ht="18" customHeight="1" x14ac:dyDescent="0.3">
      <c r="B879" s="27" t="s">
        <v>290</v>
      </c>
      <c r="C879" s="44" t="s">
        <v>166</v>
      </c>
      <c r="D879" s="30"/>
      <c r="E879" s="30"/>
      <c r="F879" s="30"/>
      <c r="G879" s="30"/>
      <c r="H879" s="30"/>
    </row>
    <row r="880" spans="1:8" ht="15.9" customHeight="1" x14ac:dyDescent="0.3">
      <c r="B880" s="43" t="s">
        <v>282</v>
      </c>
      <c r="C880" s="30"/>
      <c r="D880" s="30"/>
      <c r="E880" s="30"/>
      <c r="F880" s="30"/>
      <c r="G880" s="30"/>
      <c r="H880" s="30"/>
    </row>
    <row r="881" spans="2:8" ht="30.9" customHeight="1" x14ac:dyDescent="0.3">
      <c r="B881" s="27" t="s">
        <v>291</v>
      </c>
      <c r="C881" s="44" t="s">
        <v>600</v>
      </c>
      <c r="D881" s="30"/>
      <c r="E881" s="30"/>
      <c r="F881" s="30"/>
      <c r="G881" s="30"/>
      <c r="H881" s="30"/>
    </row>
    <row r="882" spans="2:8" ht="18" customHeight="1" x14ac:dyDescent="0.3">
      <c r="B882" s="27" t="s">
        <v>292</v>
      </c>
      <c r="C882" s="44" t="s">
        <v>529</v>
      </c>
      <c r="D882" s="30"/>
      <c r="E882" s="30"/>
      <c r="F882" s="30"/>
      <c r="G882" s="30"/>
      <c r="H882" s="30"/>
    </row>
    <row r="883" spans="2:8" ht="30.9" customHeight="1" x14ac:dyDescent="0.3">
      <c r="B883" s="27" t="s">
        <v>293</v>
      </c>
      <c r="C883" s="44" t="s">
        <v>601</v>
      </c>
      <c r="D883" s="30"/>
      <c r="E883" s="30"/>
      <c r="F883" s="30"/>
      <c r="G883" s="30"/>
      <c r="H883" s="30"/>
    </row>
    <row r="884" spans="2:8" ht="15.9" customHeight="1" x14ac:dyDescent="0.3">
      <c r="B884" s="43" t="s">
        <v>283</v>
      </c>
      <c r="C884" s="30"/>
      <c r="D884" s="30"/>
      <c r="E884" s="30"/>
      <c r="F884" s="30"/>
      <c r="G884" s="30"/>
      <c r="H884" s="30"/>
    </row>
    <row r="885" spans="2:8" ht="18" customHeight="1" x14ac:dyDescent="0.3">
      <c r="B885" s="27" t="s">
        <v>294</v>
      </c>
      <c r="C885" s="44" t="s">
        <v>308</v>
      </c>
      <c r="D885" s="30"/>
      <c r="E885" s="30"/>
      <c r="F885" s="30"/>
      <c r="G885" s="30"/>
      <c r="H885" s="30"/>
    </row>
    <row r="886" spans="2:8" ht="18" customHeight="1" x14ac:dyDescent="0.3">
      <c r="B886" s="27" t="s">
        <v>295</v>
      </c>
      <c r="C886" s="44" t="s">
        <v>309</v>
      </c>
      <c r="D886" s="30"/>
      <c r="E886" s="30"/>
      <c r="F886" s="30"/>
      <c r="G886" s="30"/>
      <c r="H886" s="30"/>
    </row>
    <row r="887" spans="2:8" ht="18" customHeight="1" x14ac:dyDescent="0.3">
      <c r="B887" s="27" t="s">
        <v>296</v>
      </c>
      <c r="C887" s="44" t="s">
        <v>310</v>
      </c>
      <c r="D887" s="30"/>
      <c r="E887" s="30"/>
      <c r="F887" s="30"/>
      <c r="G887" s="30"/>
      <c r="H887" s="30"/>
    </row>
    <row r="888" spans="2:8" ht="15.9" customHeight="1" x14ac:dyDescent="0.3">
      <c r="B888" s="43" t="s">
        <v>284</v>
      </c>
      <c r="C888" s="30"/>
      <c r="D888" s="30"/>
      <c r="E888" s="30"/>
      <c r="F888" s="30"/>
      <c r="G888" s="30"/>
      <c r="H888" s="30"/>
    </row>
    <row r="889" spans="2:8" ht="18" customHeight="1" x14ac:dyDescent="0.3">
      <c r="B889" s="27" t="s">
        <v>297</v>
      </c>
      <c r="C889" s="44" t="s">
        <v>602</v>
      </c>
      <c r="D889" s="30"/>
      <c r="E889" s="30"/>
      <c r="F889" s="30"/>
      <c r="G889" s="30"/>
      <c r="H889" s="30"/>
    </row>
    <row r="890" spans="2:8" ht="18" customHeight="1" x14ac:dyDescent="0.3">
      <c r="B890" s="27" t="s">
        <v>298</v>
      </c>
      <c r="C890" s="44" t="s">
        <v>603</v>
      </c>
      <c r="D890" s="30"/>
      <c r="E890" s="30"/>
      <c r="F890" s="30"/>
      <c r="G890" s="30"/>
      <c r="H890" s="30"/>
    </row>
    <row r="891" spans="2:8" ht="42.9" customHeight="1" x14ac:dyDescent="0.3">
      <c r="B891" s="27" t="s">
        <v>299</v>
      </c>
      <c r="C891" s="44" t="s">
        <v>604</v>
      </c>
      <c r="D891" s="30"/>
      <c r="E891" s="30"/>
      <c r="F891" s="30"/>
      <c r="G891" s="30"/>
      <c r="H891" s="30"/>
    </row>
    <row r="892" spans="2:8" ht="18" customHeight="1" x14ac:dyDescent="0.3">
      <c r="B892" s="27" t="s">
        <v>300</v>
      </c>
      <c r="C892" s="44" t="s">
        <v>605</v>
      </c>
      <c r="D892" s="30"/>
      <c r="E892" s="30"/>
      <c r="F892" s="30"/>
      <c r="G892" s="30"/>
      <c r="H892" s="30"/>
    </row>
    <row r="893" spans="2:8" ht="30.9" customHeight="1" x14ac:dyDescent="0.3">
      <c r="B893" s="27" t="s">
        <v>301</v>
      </c>
      <c r="C893" s="44" t="s">
        <v>606</v>
      </c>
      <c r="D893" s="30"/>
      <c r="E893" s="30"/>
      <c r="F893" s="30"/>
      <c r="G893" s="30"/>
      <c r="H893" s="30"/>
    </row>
    <row r="894" spans="2:8" ht="15.9" customHeight="1" x14ac:dyDescent="0.3">
      <c r="B894" s="43" t="s">
        <v>285</v>
      </c>
      <c r="C894" s="30"/>
      <c r="D894" s="30"/>
      <c r="E894" s="30"/>
      <c r="F894" s="30"/>
      <c r="G894" s="30"/>
      <c r="H894" s="30"/>
    </row>
    <row r="895" spans="2:8" ht="18" customHeight="1" x14ac:dyDescent="0.3">
      <c r="B895" s="27" t="s">
        <v>302</v>
      </c>
      <c r="C895" s="44" t="s">
        <v>589</v>
      </c>
      <c r="D895" s="30"/>
      <c r="E895" s="30"/>
      <c r="F895" s="30"/>
      <c r="G895" s="30"/>
      <c r="H895" s="30"/>
    </row>
    <row r="896" spans="2:8" ht="18" customHeight="1" x14ac:dyDescent="0.3">
      <c r="B896" s="27" t="s">
        <v>303</v>
      </c>
      <c r="C896" s="44" t="s">
        <v>607</v>
      </c>
      <c r="D896" s="30"/>
      <c r="E896" s="30"/>
      <c r="F896" s="30"/>
      <c r="G896" s="30"/>
      <c r="H896" s="30"/>
    </row>
    <row r="897" spans="1:8" ht="18" customHeight="1" x14ac:dyDescent="0.3">
      <c r="B897" s="27" t="s">
        <v>304</v>
      </c>
      <c r="C897" s="44" t="s">
        <v>1095</v>
      </c>
      <c r="D897" s="30"/>
      <c r="E897" s="30"/>
      <c r="F897" s="30"/>
      <c r="G897" s="30"/>
      <c r="H897" s="30"/>
    </row>
    <row r="900" spans="1:8" ht="21.9" customHeight="1" x14ac:dyDescent="0.3">
      <c r="A900" s="45" t="s">
        <v>1126</v>
      </c>
      <c r="B900" s="30"/>
      <c r="C900" s="30"/>
      <c r="D900" s="30"/>
      <c r="E900" s="30"/>
      <c r="F900" s="30"/>
      <c r="G900" s="30"/>
      <c r="H900" s="30"/>
    </row>
    <row r="902" spans="1:8" ht="15.9" customHeight="1" x14ac:dyDescent="0.3">
      <c r="B902" s="43" t="s">
        <v>3</v>
      </c>
      <c r="C902" s="30"/>
      <c r="D902" s="30"/>
      <c r="E902" s="30"/>
      <c r="F902" s="30"/>
      <c r="G902" s="30"/>
      <c r="H902" s="30"/>
    </row>
    <row r="903" spans="1:8" ht="18" customHeight="1" x14ac:dyDescent="0.3">
      <c r="B903" s="27" t="s">
        <v>286</v>
      </c>
      <c r="C903" s="44" t="s">
        <v>608</v>
      </c>
      <c r="D903" s="30"/>
      <c r="E903" s="30"/>
      <c r="F903" s="30"/>
      <c r="G903" s="30"/>
      <c r="H903" s="30"/>
    </row>
    <row r="904" spans="1:8" ht="18" customHeight="1" x14ac:dyDescent="0.3">
      <c r="B904" s="27" t="s">
        <v>287</v>
      </c>
      <c r="C904" s="44" t="s">
        <v>609</v>
      </c>
      <c r="D904" s="30"/>
      <c r="E904" s="30"/>
      <c r="F904" s="30"/>
      <c r="G904" s="30"/>
      <c r="H904" s="30"/>
    </row>
    <row r="905" spans="1:8" ht="18" customHeight="1" x14ac:dyDescent="0.3">
      <c r="B905" s="27" t="s">
        <v>288</v>
      </c>
      <c r="C905" s="44" t="s">
        <v>169</v>
      </c>
      <c r="D905" s="30"/>
      <c r="E905" s="30"/>
      <c r="F905" s="30"/>
      <c r="G905" s="30"/>
      <c r="H905" s="30"/>
    </row>
    <row r="906" spans="1:8" ht="18" customHeight="1" x14ac:dyDescent="0.3">
      <c r="B906" s="27" t="s">
        <v>289</v>
      </c>
      <c r="C906" s="44" t="s">
        <v>1093</v>
      </c>
      <c r="D906" s="30"/>
      <c r="E906" s="30"/>
      <c r="F906" s="30"/>
      <c r="G906" s="30"/>
      <c r="H906" s="30"/>
    </row>
    <row r="907" spans="1:8" ht="18" customHeight="1" x14ac:dyDescent="0.3">
      <c r="B907" s="27" t="s">
        <v>290</v>
      </c>
      <c r="C907" s="44" t="s">
        <v>166</v>
      </c>
      <c r="D907" s="30"/>
      <c r="E907" s="30"/>
      <c r="F907" s="30"/>
      <c r="G907" s="30"/>
      <c r="H907" s="30"/>
    </row>
    <row r="908" spans="1:8" ht="15.9" customHeight="1" x14ac:dyDescent="0.3">
      <c r="B908" s="43" t="s">
        <v>282</v>
      </c>
      <c r="C908" s="30"/>
      <c r="D908" s="30"/>
      <c r="E908" s="30"/>
      <c r="F908" s="30"/>
      <c r="G908" s="30"/>
      <c r="H908" s="30"/>
    </row>
    <row r="909" spans="1:8" ht="30.9" customHeight="1" x14ac:dyDescent="0.3">
      <c r="B909" s="27" t="s">
        <v>291</v>
      </c>
      <c r="C909" s="44" t="s">
        <v>610</v>
      </c>
      <c r="D909" s="30"/>
      <c r="E909" s="30"/>
      <c r="F909" s="30"/>
      <c r="G909" s="30"/>
      <c r="H909" s="30"/>
    </row>
    <row r="910" spans="1:8" ht="18" customHeight="1" x14ac:dyDescent="0.3">
      <c r="B910" s="27" t="s">
        <v>292</v>
      </c>
      <c r="C910" s="44" t="s">
        <v>529</v>
      </c>
      <c r="D910" s="30"/>
      <c r="E910" s="30"/>
      <c r="F910" s="30"/>
      <c r="G910" s="30"/>
      <c r="H910" s="30"/>
    </row>
    <row r="911" spans="1:8" ht="18" customHeight="1" x14ac:dyDescent="0.3">
      <c r="B911" s="27" t="s">
        <v>293</v>
      </c>
      <c r="C911" s="44" t="s">
        <v>611</v>
      </c>
      <c r="D911" s="30"/>
      <c r="E911" s="30"/>
      <c r="F911" s="30"/>
      <c r="G911" s="30"/>
      <c r="H911" s="30"/>
    </row>
    <row r="912" spans="1:8" ht="15.9" customHeight="1" x14ac:dyDescent="0.3">
      <c r="B912" s="43" t="s">
        <v>283</v>
      </c>
      <c r="C912" s="30"/>
      <c r="D912" s="30"/>
      <c r="E912" s="30"/>
      <c r="F912" s="30"/>
      <c r="G912" s="30"/>
      <c r="H912" s="30"/>
    </row>
    <row r="913" spans="1:8" ht="18" customHeight="1" x14ac:dyDescent="0.3">
      <c r="B913" s="27" t="s">
        <v>294</v>
      </c>
      <c r="C913" s="44" t="s">
        <v>347</v>
      </c>
      <c r="D913" s="30"/>
      <c r="E913" s="30"/>
      <c r="F913" s="30"/>
      <c r="G913" s="30"/>
      <c r="H913" s="30"/>
    </row>
    <row r="914" spans="1:8" ht="18" customHeight="1" x14ac:dyDescent="0.3">
      <c r="B914" s="27" t="s">
        <v>295</v>
      </c>
      <c r="C914" s="44" t="s">
        <v>348</v>
      </c>
      <c r="D914" s="30"/>
      <c r="E914" s="30"/>
      <c r="F914" s="30"/>
      <c r="G914" s="30"/>
      <c r="H914" s="30"/>
    </row>
    <row r="915" spans="1:8" ht="18" customHeight="1" x14ac:dyDescent="0.3">
      <c r="B915" s="27" t="s">
        <v>296</v>
      </c>
      <c r="C915" s="44" t="s">
        <v>310</v>
      </c>
      <c r="D915" s="30"/>
      <c r="E915" s="30"/>
      <c r="F915" s="30"/>
      <c r="G915" s="30"/>
      <c r="H915" s="30"/>
    </row>
    <row r="916" spans="1:8" ht="15.9" customHeight="1" x14ac:dyDescent="0.3">
      <c r="B916" s="43" t="s">
        <v>284</v>
      </c>
      <c r="C916" s="30"/>
      <c r="D916" s="30"/>
      <c r="E916" s="30"/>
      <c r="F916" s="30"/>
      <c r="G916" s="30"/>
      <c r="H916" s="30"/>
    </row>
    <row r="917" spans="1:8" ht="18" customHeight="1" x14ac:dyDescent="0.3">
      <c r="B917" s="27" t="s">
        <v>297</v>
      </c>
      <c r="C917" s="44" t="s">
        <v>612</v>
      </c>
      <c r="D917" s="30"/>
      <c r="E917" s="30"/>
      <c r="F917" s="30"/>
      <c r="G917" s="30"/>
      <c r="H917" s="30"/>
    </row>
    <row r="918" spans="1:8" ht="18" customHeight="1" x14ac:dyDescent="0.3">
      <c r="B918" s="27" t="s">
        <v>298</v>
      </c>
      <c r="C918" s="44" t="s">
        <v>613</v>
      </c>
      <c r="D918" s="30"/>
      <c r="E918" s="30"/>
      <c r="F918" s="30"/>
      <c r="G918" s="30"/>
      <c r="H918" s="30"/>
    </row>
    <row r="919" spans="1:8" ht="42.9" customHeight="1" x14ac:dyDescent="0.3">
      <c r="B919" s="27" t="s">
        <v>299</v>
      </c>
      <c r="C919" s="44" t="s">
        <v>614</v>
      </c>
      <c r="D919" s="30"/>
      <c r="E919" s="30"/>
      <c r="F919" s="30"/>
      <c r="G919" s="30"/>
      <c r="H919" s="30"/>
    </row>
    <row r="920" spans="1:8" ht="18" customHeight="1" x14ac:dyDescent="0.3">
      <c r="B920" s="27" t="s">
        <v>300</v>
      </c>
      <c r="C920" s="44" t="s">
        <v>615</v>
      </c>
      <c r="D920" s="30"/>
      <c r="E920" s="30"/>
      <c r="F920" s="30"/>
      <c r="G920" s="30"/>
      <c r="H920" s="30"/>
    </row>
    <row r="921" spans="1:8" ht="30.9" customHeight="1" x14ac:dyDescent="0.3">
      <c r="B921" s="27" t="s">
        <v>301</v>
      </c>
      <c r="C921" s="44" t="s">
        <v>616</v>
      </c>
      <c r="D921" s="30"/>
      <c r="E921" s="30"/>
      <c r="F921" s="30"/>
      <c r="G921" s="30"/>
      <c r="H921" s="30"/>
    </row>
    <row r="922" spans="1:8" ht="15.9" customHeight="1" x14ac:dyDescent="0.3">
      <c r="B922" s="43" t="s">
        <v>285</v>
      </c>
      <c r="C922" s="30"/>
      <c r="D922" s="30"/>
      <c r="E922" s="30"/>
      <c r="F922" s="30"/>
      <c r="G922" s="30"/>
      <c r="H922" s="30"/>
    </row>
    <row r="923" spans="1:8" ht="18" customHeight="1" x14ac:dyDescent="0.3">
      <c r="B923" s="27" t="s">
        <v>302</v>
      </c>
      <c r="C923" s="44" t="s">
        <v>599</v>
      </c>
      <c r="D923" s="30"/>
      <c r="E923" s="30"/>
      <c r="F923" s="30"/>
      <c r="G923" s="30"/>
      <c r="H923" s="30"/>
    </row>
    <row r="924" spans="1:8" ht="18" customHeight="1" x14ac:dyDescent="0.3">
      <c r="B924" s="27" t="s">
        <v>303</v>
      </c>
      <c r="C924" s="44" t="s">
        <v>354</v>
      </c>
      <c r="D924" s="30"/>
      <c r="E924" s="30"/>
      <c r="F924" s="30"/>
      <c r="G924" s="30"/>
      <c r="H924" s="30"/>
    </row>
    <row r="925" spans="1:8" ht="18" customHeight="1" x14ac:dyDescent="0.3">
      <c r="B925" s="27" t="s">
        <v>304</v>
      </c>
      <c r="C925" s="44" t="s">
        <v>1095</v>
      </c>
      <c r="D925" s="30"/>
      <c r="E925" s="30"/>
      <c r="F925" s="30"/>
      <c r="G925" s="30"/>
      <c r="H925" s="30"/>
    </row>
    <row r="928" spans="1:8" ht="21.9" customHeight="1" x14ac:dyDescent="0.3">
      <c r="A928" s="45" t="s">
        <v>1127</v>
      </c>
      <c r="B928" s="30"/>
      <c r="C928" s="30"/>
      <c r="D928" s="30"/>
      <c r="E928" s="30"/>
      <c r="F928" s="30"/>
      <c r="G928" s="30"/>
      <c r="H928" s="30"/>
    </row>
    <row r="930" spans="2:8" ht="15.9" customHeight="1" x14ac:dyDescent="0.3">
      <c r="B930" s="43" t="s">
        <v>3</v>
      </c>
      <c r="C930" s="30"/>
      <c r="D930" s="30"/>
      <c r="E930" s="30"/>
      <c r="F930" s="30"/>
      <c r="G930" s="30"/>
      <c r="H930" s="30"/>
    </row>
    <row r="931" spans="2:8" ht="18" customHeight="1" x14ac:dyDescent="0.3">
      <c r="B931" s="27" t="s">
        <v>286</v>
      </c>
      <c r="C931" s="44" t="s">
        <v>617</v>
      </c>
      <c r="D931" s="30"/>
      <c r="E931" s="30"/>
      <c r="F931" s="30"/>
      <c r="G931" s="30"/>
      <c r="H931" s="30"/>
    </row>
    <row r="932" spans="2:8" ht="18" customHeight="1" x14ac:dyDescent="0.3">
      <c r="B932" s="27" t="s">
        <v>287</v>
      </c>
      <c r="C932" s="44" t="s">
        <v>618</v>
      </c>
      <c r="D932" s="30"/>
      <c r="E932" s="30"/>
      <c r="F932" s="30"/>
      <c r="G932" s="30"/>
      <c r="H932" s="30"/>
    </row>
    <row r="933" spans="2:8" ht="18" customHeight="1" x14ac:dyDescent="0.3">
      <c r="B933" s="27" t="s">
        <v>288</v>
      </c>
      <c r="C933" s="44" t="s">
        <v>169</v>
      </c>
      <c r="D933" s="30"/>
      <c r="E933" s="30"/>
      <c r="F933" s="30"/>
      <c r="G933" s="30"/>
      <c r="H933" s="30"/>
    </row>
    <row r="934" spans="2:8" ht="18" customHeight="1" x14ac:dyDescent="0.3">
      <c r="B934" s="27" t="s">
        <v>289</v>
      </c>
      <c r="C934" s="44" t="s">
        <v>1093</v>
      </c>
      <c r="D934" s="30"/>
      <c r="E934" s="30"/>
      <c r="F934" s="30"/>
      <c r="G934" s="30"/>
      <c r="H934" s="30"/>
    </row>
    <row r="935" spans="2:8" ht="18" customHeight="1" x14ac:dyDescent="0.3">
      <c r="B935" s="27" t="s">
        <v>290</v>
      </c>
      <c r="C935" s="44" t="s">
        <v>166</v>
      </c>
      <c r="D935" s="30"/>
      <c r="E935" s="30"/>
      <c r="F935" s="30"/>
      <c r="G935" s="30"/>
      <c r="H935" s="30"/>
    </row>
    <row r="936" spans="2:8" ht="15.9" customHeight="1" x14ac:dyDescent="0.3">
      <c r="B936" s="43" t="s">
        <v>282</v>
      </c>
      <c r="C936" s="30"/>
      <c r="D936" s="30"/>
      <c r="E936" s="30"/>
      <c r="F936" s="30"/>
      <c r="G936" s="30"/>
      <c r="H936" s="30"/>
    </row>
    <row r="937" spans="2:8" ht="30.9" customHeight="1" x14ac:dyDescent="0.3">
      <c r="B937" s="27" t="s">
        <v>291</v>
      </c>
      <c r="C937" s="44" t="s">
        <v>619</v>
      </c>
      <c r="D937" s="30"/>
      <c r="E937" s="30"/>
      <c r="F937" s="30"/>
      <c r="G937" s="30"/>
      <c r="H937" s="30"/>
    </row>
    <row r="938" spans="2:8" ht="18" customHeight="1" x14ac:dyDescent="0.3">
      <c r="B938" s="27" t="s">
        <v>292</v>
      </c>
      <c r="C938" s="44" t="s">
        <v>620</v>
      </c>
      <c r="D938" s="30"/>
      <c r="E938" s="30"/>
      <c r="F938" s="30"/>
      <c r="G938" s="30"/>
      <c r="H938" s="30"/>
    </row>
    <row r="939" spans="2:8" ht="30.9" customHeight="1" x14ac:dyDescent="0.3">
      <c r="B939" s="27" t="s">
        <v>293</v>
      </c>
      <c r="C939" s="44" t="s">
        <v>621</v>
      </c>
      <c r="D939" s="30"/>
      <c r="E939" s="30"/>
      <c r="F939" s="30"/>
      <c r="G939" s="30"/>
      <c r="H939" s="30"/>
    </row>
    <row r="940" spans="2:8" ht="15.9" customHeight="1" x14ac:dyDescent="0.3">
      <c r="B940" s="43" t="s">
        <v>283</v>
      </c>
      <c r="C940" s="30"/>
      <c r="D940" s="30"/>
      <c r="E940" s="30"/>
      <c r="F940" s="30"/>
      <c r="G940" s="30"/>
      <c r="H940" s="30"/>
    </row>
    <row r="941" spans="2:8" ht="18" customHeight="1" x14ac:dyDescent="0.3">
      <c r="B941" s="27" t="s">
        <v>294</v>
      </c>
      <c r="C941" s="44" t="s">
        <v>308</v>
      </c>
      <c r="D941" s="30"/>
      <c r="E941" s="30"/>
      <c r="F941" s="30"/>
      <c r="G941" s="30"/>
      <c r="H941" s="30"/>
    </row>
    <row r="942" spans="2:8" ht="18" customHeight="1" x14ac:dyDescent="0.3">
      <c r="B942" s="27" t="s">
        <v>295</v>
      </c>
      <c r="C942" s="44" t="s">
        <v>309</v>
      </c>
      <c r="D942" s="30"/>
      <c r="E942" s="30"/>
      <c r="F942" s="30"/>
      <c r="G942" s="30"/>
      <c r="H942" s="30"/>
    </row>
    <row r="943" spans="2:8" ht="18" customHeight="1" x14ac:dyDescent="0.3">
      <c r="B943" s="27" t="s">
        <v>296</v>
      </c>
      <c r="C943" s="44" t="s">
        <v>310</v>
      </c>
      <c r="D943" s="30"/>
      <c r="E943" s="30"/>
      <c r="F943" s="30"/>
      <c r="G943" s="30"/>
      <c r="H943" s="30"/>
    </row>
    <row r="944" spans="2:8" ht="15.9" customHeight="1" x14ac:dyDescent="0.3">
      <c r="B944" s="43" t="s">
        <v>284</v>
      </c>
      <c r="C944" s="30"/>
      <c r="D944" s="30"/>
      <c r="E944" s="30"/>
      <c r="F944" s="30"/>
      <c r="G944" s="30"/>
      <c r="H944" s="30"/>
    </row>
    <row r="945" spans="1:8" ht="18" customHeight="1" x14ac:dyDescent="0.3">
      <c r="B945" s="27" t="s">
        <v>297</v>
      </c>
      <c r="C945" s="44" t="s">
        <v>612</v>
      </c>
      <c r="D945" s="30"/>
      <c r="E945" s="30"/>
      <c r="F945" s="30"/>
      <c r="G945" s="30"/>
      <c r="H945" s="30"/>
    </row>
    <row r="946" spans="1:8" ht="18" customHeight="1" x14ac:dyDescent="0.3">
      <c r="B946" s="27" t="s">
        <v>298</v>
      </c>
      <c r="C946" s="44" t="s">
        <v>622</v>
      </c>
      <c r="D946" s="30"/>
      <c r="E946" s="30"/>
      <c r="F946" s="30"/>
      <c r="G946" s="30"/>
      <c r="H946" s="30"/>
    </row>
    <row r="947" spans="1:8" ht="42.9" customHeight="1" x14ac:dyDescent="0.3">
      <c r="B947" s="27" t="s">
        <v>299</v>
      </c>
      <c r="C947" s="44" t="s">
        <v>623</v>
      </c>
      <c r="D947" s="30"/>
      <c r="E947" s="30"/>
      <c r="F947" s="30"/>
      <c r="G947" s="30"/>
      <c r="H947" s="30"/>
    </row>
    <row r="948" spans="1:8" ht="18" customHeight="1" x14ac:dyDescent="0.3">
      <c r="B948" s="27" t="s">
        <v>300</v>
      </c>
      <c r="C948" s="44" t="s">
        <v>624</v>
      </c>
      <c r="D948" s="30"/>
      <c r="E948" s="30"/>
      <c r="F948" s="30"/>
      <c r="G948" s="30"/>
      <c r="H948" s="30"/>
    </row>
    <row r="949" spans="1:8" ht="30.9" customHeight="1" x14ac:dyDescent="0.3">
      <c r="B949" s="27" t="s">
        <v>301</v>
      </c>
      <c r="C949" s="44" t="s">
        <v>625</v>
      </c>
      <c r="D949" s="30"/>
      <c r="E949" s="30"/>
      <c r="F949" s="30"/>
      <c r="G949" s="30"/>
      <c r="H949" s="30"/>
    </row>
    <row r="950" spans="1:8" ht="15.9" customHeight="1" x14ac:dyDescent="0.3">
      <c r="B950" s="43" t="s">
        <v>285</v>
      </c>
      <c r="C950" s="30"/>
      <c r="D950" s="30"/>
      <c r="E950" s="30"/>
      <c r="F950" s="30"/>
      <c r="G950" s="30"/>
      <c r="H950" s="30"/>
    </row>
    <row r="951" spans="1:8" ht="18" customHeight="1" x14ac:dyDescent="0.3">
      <c r="B951" s="27" t="s">
        <v>302</v>
      </c>
      <c r="C951" s="44" t="s">
        <v>599</v>
      </c>
      <c r="D951" s="30"/>
      <c r="E951" s="30"/>
      <c r="F951" s="30"/>
      <c r="G951" s="30"/>
      <c r="H951" s="30"/>
    </row>
    <row r="952" spans="1:8" ht="18" customHeight="1" x14ac:dyDescent="0.3">
      <c r="B952" s="27" t="s">
        <v>303</v>
      </c>
      <c r="C952" s="44" t="s">
        <v>354</v>
      </c>
      <c r="D952" s="30"/>
      <c r="E952" s="30"/>
      <c r="F952" s="30"/>
      <c r="G952" s="30"/>
      <c r="H952" s="30"/>
    </row>
    <row r="953" spans="1:8" ht="18" customHeight="1" x14ac:dyDescent="0.3">
      <c r="B953" s="27" t="s">
        <v>304</v>
      </c>
      <c r="C953" s="44" t="s">
        <v>1095</v>
      </c>
      <c r="D953" s="30"/>
      <c r="E953" s="30"/>
      <c r="F953" s="30"/>
      <c r="G953" s="30"/>
      <c r="H953" s="30"/>
    </row>
    <row r="956" spans="1:8" ht="21.9" customHeight="1" x14ac:dyDescent="0.3">
      <c r="A956" s="45" t="s">
        <v>1128</v>
      </c>
      <c r="B956" s="30"/>
      <c r="C956" s="30"/>
      <c r="D956" s="30"/>
      <c r="E956" s="30"/>
      <c r="F956" s="30"/>
      <c r="G956" s="30"/>
      <c r="H956" s="30"/>
    </row>
    <row r="958" spans="1:8" ht="15.9" customHeight="1" x14ac:dyDescent="0.3">
      <c r="B958" s="43" t="s">
        <v>3</v>
      </c>
      <c r="C958" s="30"/>
      <c r="D958" s="30"/>
      <c r="E958" s="30"/>
      <c r="F958" s="30"/>
      <c r="G958" s="30"/>
      <c r="H958" s="30"/>
    </row>
    <row r="959" spans="1:8" ht="18" customHeight="1" x14ac:dyDescent="0.3">
      <c r="B959" s="27" t="s">
        <v>286</v>
      </c>
      <c r="C959" s="44" t="s">
        <v>626</v>
      </c>
      <c r="D959" s="30"/>
      <c r="E959" s="30"/>
      <c r="F959" s="30"/>
      <c r="G959" s="30"/>
      <c r="H959" s="30"/>
    </row>
    <row r="960" spans="1:8" ht="18" customHeight="1" x14ac:dyDescent="0.3">
      <c r="B960" s="27" t="s">
        <v>287</v>
      </c>
      <c r="C960" s="44" t="s">
        <v>627</v>
      </c>
      <c r="D960" s="30"/>
      <c r="E960" s="30"/>
      <c r="F960" s="30"/>
      <c r="G960" s="30"/>
      <c r="H960" s="30"/>
    </row>
    <row r="961" spans="2:8" ht="18" customHeight="1" x14ac:dyDescent="0.3">
      <c r="B961" s="27" t="s">
        <v>288</v>
      </c>
      <c r="C961" s="44" t="s">
        <v>169</v>
      </c>
      <c r="D961" s="30"/>
      <c r="E961" s="30"/>
      <c r="F961" s="30"/>
      <c r="G961" s="30"/>
      <c r="H961" s="30"/>
    </row>
    <row r="962" spans="2:8" ht="18" customHeight="1" x14ac:dyDescent="0.3">
      <c r="B962" s="27" t="s">
        <v>289</v>
      </c>
      <c r="C962" s="44" t="s">
        <v>1093</v>
      </c>
      <c r="D962" s="30"/>
      <c r="E962" s="30"/>
      <c r="F962" s="30"/>
      <c r="G962" s="30"/>
      <c r="H962" s="30"/>
    </row>
    <row r="963" spans="2:8" ht="18" customHeight="1" x14ac:dyDescent="0.3">
      <c r="B963" s="27" t="s">
        <v>290</v>
      </c>
      <c r="C963" s="44" t="s">
        <v>166</v>
      </c>
      <c r="D963" s="30"/>
      <c r="E963" s="30"/>
      <c r="F963" s="30"/>
      <c r="G963" s="30"/>
      <c r="H963" s="30"/>
    </row>
    <row r="964" spans="2:8" ht="15.9" customHeight="1" x14ac:dyDescent="0.3">
      <c r="B964" s="43" t="s">
        <v>282</v>
      </c>
      <c r="C964" s="30"/>
      <c r="D964" s="30"/>
      <c r="E964" s="30"/>
      <c r="F964" s="30"/>
      <c r="G964" s="30"/>
      <c r="H964" s="30"/>
    </row>
    <row r="965" spans="2:8" ht="44.1" customHeight="1" x14ac:dyDescent="0.3">
      <c r="B965" s="27" t="s">
        <v>291</v>
      </c>
      <c r="C965" s="44" t="s">
        <v>628</v>
      </c>
      <c r="D965" s="30"/>
      <c r="E965" s="30"/>
      <c r="F965" s="30"/>
      <c r="G965" s="30"/>
      <c r="H965" s="30"/>
    </row>
    <row r="966" spans="2:8" ht="18" customHeight="1" x14ac:dyDescent="0.3">
      <c r="B966" s="27" t="s">
        <v>292</v>
      </c>
      <c r="C966" s="44" t="s">
        <v>529</v>
      </c>
      <c r="D966" s="30"/>
      <c r="E966" s="30"/>
      <c r="F966" s="30"/>
      <c r="G966" s="30"/>
      <c r="H966" s="30"/>
    </row>
    <row r="967" spans="2:8" ht="18" customHeight="1" x14ac:dyDescent="0.3">
      <c r="B967" s="27" t="s">
        <v>293</v>
      </c>
      <c r="C967" s="44" t="s">
        <v>629</v>
      </c>
      <c r="D967" s="30"/>
      <c r="E967" s="30"/>
      <c r="F967" s="30"/>
      <c r="G967" s="30"/>
      <c r="H967" s="30"/>
    </row>
    <row r="968" spans="2:8" ht="15.9" customHeight="1" x14ac:dyDescent="0.3">
      <c r="B968" s="43" t="s">
        <v>283</v>
      </c>
      <c r="C968" s="30"/>
      <c r="D968" s="30"/>
      <c r="E968" s="30"/>
      <c r="F968" s="30"/>
      <c r="G968" s="30"/>
      <c r="H968" s="30"/>
    </row>
    <row r="969" spans="2:8" ht="18" customHeight="1" x14ac:dyDescent="0.3">
      <c r="B969" s="27" t="s">
        <v>294</v>
      </c>
      <c r="C969" s="44" t="s">
        <v>308</v>
      </c>
      <c r="D969" s="30"/>
      <c r="E969" s="30"/>
      <c r="F969" s="30"/>
      <c r="G969" s="30"/>
      <c r="H969" s="30"/>
    </row>
    <row r="970" spans="2:8" ht="18" customHeight="1" x14ac:dyDescent="0.3">
      <c r="B970" s="27" t="s">
        <v>295</v>
      </c>
      <c r="C970" s="44" t="s">
        <v>309</v>
      </c>
      <c r="D970" s="30"/>
      <c r="E970" s="30"/>
      <c r="F970" s="30"/>
      <c r="G970" s="30"/>
      <c r="H970" s="30"/>
    </row>
    <row r="971" spans="2:8" ht="18" customHeight="1" x14ac:dyDescent="0.3">
      <c r="B971" s="27" t="s">
        <v>296</v>
      </c>
      <c r="C971" s="44" t="s">
        <v>509</v>
      </c>
      <c r="D971" s="30"/>
      <c r="E971" s="30"/>
      <c r="F971" s="30"/>
      <c r="G971" s="30"/>
      <c r="H971" s="30"/>
    </row>
    <row r="972" spans="2:8" ht="15.9" customHeight="1" x14ac:dyDescent="0.3">
      <c r="B972" s="43" t="s">
        <v>284</v>
      </c>
      <c r="C972" s="30"/>
      <c r="D972" s="30"/>
      <c r="E972" s="30"/>
      <c r="F972" s="30"/>
      <c r="G972" s="30"/>
      <c r="H972" s="30"/>
    </row>
    <row r="973" spans="2:8" ht="18" customHeight="1" x14ac:dyDescent="0.3">
      <c r="B973" s="27" t="s">
        <v>297</v>
      </c>
      <c r="C973" s="44" t="s">
        <v>630</v>
      </c>
      <c r="D973" s="30"/>
      <c r="E973" s="30"/>
      <c r="F973" s="30"/>
      <c r="G973" s="30"/>
      <c r="H973" s="30"/>
    </row>
    <row r="974" spans="2:8" ht="18" customHeight="1" x14ac:dyDescent="0.3">
      <c r="B974" s="27" t="s">
        <v>298</v>
      </c>
      <c r="C974" s="44" t="s">
        <v>631</v>
      </c>
      <c r="D974" s="30"/>
      <c r="E974" s="30"/>
      <c r="F974" s="30"/>
      <c r="G974" s="30"/>
      <c r="H974" s="30"/>
    </row>
    <row r="975" spans="2:8" ht="42.9" customHeight="1" x14ac:dyDescent="0.3">
      <c r="B975" s="27" t="s">
        <v>299</v>
      </c>
      <c r="C975" s="44" t="s">
        <v>632</v>
      </c>
      <c r="D975" s="30"/>
      <c r="E975" s="30"/>
      <c r="F975" s="30"/>
      <c r="G975" s="30"/>
      <c r="H975" s="30"/>
    </row>
    <row r="976" spans="2:8" ht="30.9" customHeight="1" x14ac:dyDescent="0.3">
      <c r="B976" s="27" t="s">
        <v>300</v>
      </c>
      <c r="C976" s="44" t="s">
        <v>633</v>
      </c>
      <c r="D976" s="30"/>
      <c r="E976" s="30"/>
      <c r="F976" s="30"/>
      <c r="G976" s="30"/>
      <c r="H976" s="30"/>
    </row>
    <row r="977" spans="1:8" ht="30.9" customHeight="1" x14ac:dyDescent="0.3">
      <c r="B977" s="27" t="s">
        <v>301</v>
      </c>
      <c r="C977" s="44" t="s">
        <v>634</v>
      </c>
      <c r="D977" s="30"/>
      <c r="E977" s="30"/>
      <c r="F977" s="30"/>
      <c r="G977" s="30"/>
      <c r="H977" s="30"/>
    </row>
    <row r="978" spans="1:8" ht="15.9" customHeight="1" x14ac:dyDescent="0.3">
      <c r="B978" s="43" t="s">
        <v>285</v>
      </c>
      <c r="C978" s="30"/>
      <c r="D978" s="30"/>
      <c r="E978" s="30"/>
      <c r="F978" s="30"/>
      <c r="G978" s="30"/>
      <c r="H978" s="30"/>
    </row>
    <row r="979" spans="1:8" ht="18" customHeight="1" x14ac:dyDescent="0.3">
      <c r="B979" s="27" t="s">
        <v>302</v>
      </c>
      <c r="C979" s="44" t="s">
        <v>617</v>
      </c>
      <c r="D979" s="30"/>
      <c r="E979" s="30"/>
      <c r="F979" s="30"/>
      <c r="G979" s="30"/>
      <c r="H979" s="30"/>
    </row>
    <row r="980" spans="1:8" ht="18" customHeight="1" x14ac:dyDescent="0.3">
      <c r="B980" s="27" t="s">
        <v>303</v>
      </c>
      <c r="C980" s="44" t="s">
        <v>635</v>
      </c>
      <c r="D980" s="30"/>
      <c r="E980" s="30"/>
      <c r="F980" s="30"/>
      <c r="G980" s="30"/>
      <c r="H980" s="30"/>
    </row>
    <row r="981" spans="1:8" ht="18" customHeight="1" x14ac:dyDescent="0.3">
      <c r="B981" s="27" t="s">
        <v>304</v>
      </c>
      <c r="C981" s="44" t="s">
        <v>636</v>
      </c>
      <c r="D981" s="30"/>
      <c r="E981" s="30"/>
      <c r="F981" s="30"/>
      <c r="G981" s="30"/>
      <c r="H981" s="30"/>
    </row>
    <row r="984" spans="1:8" ht="21.9" customHeight="1" x14ac:dyDescent="0.3">
      <c r="A984" s="45" t="s">
        <v>1129</v>
      </c>
      <c r="B984" s="30"/>
      <c r="C984" s="30"/>
      <c r="D984" s="30"/>
      <c r="E984" s="30"/>
      <c r="F984" s="30"/>
      <c r="G984" s="30"/>
      <c r="H984" s="30"/>
    </row>
    <row r="986" spans="1:8" ht="15.9" customHeight="1" x14ac:dyDescent="0.3">
      <c r="B986" s="43" t="s">
        <v>3</v>
      </c>
      <c r="C986" s="30"/>
      <c r="D986" s="30"/>
      <c r="E986" s="30"/>
      <c r="F986" s="30"/>
      <c r="G986" s="30"/>
      <c r="H986" s="30"/>
    </row>
    <row r="987" spans="1:8" ht="18" customHeight="1" x14ac:dyDescent="0.3">
      <c r="B987" s="27" t="s">
        <v>286</v>
      </c>
      <c r="C987" s="44" t="s">
        <v>635</v>
      </c>
      <c r="D987" s="30"/>
      <c r="E987" s="30"/>
      <c r="F987" s="30"/>
      <c r="G987" s="30"/>
      <c r="H987" s="30"/>
    </row>
    <row r="988" spans="1:8" ht="18" customHeight="1" x14ac:dyDescent="0.3">
      <c r="B988" s="27" t="s">
        <v>287</v>
      </c>
      <c r="C988" s="44" t="s">
        <v>637</v>
      </c>
      <c r="D988" s="30"/>
      <c r="E988" s="30"/>
      <c r="F988" s="30"/>
      <c r="G988" s="30"/>
      <c r="H988" s="30"/>
    </row>
    <row r="989" spans="1:8" ht="18" customHeight="1" x14ac:dyDescent="0.3">
      <c r="B989" s="27" t="s">
        <v>288</v>
      </c>
      <c r="C989" s="44" t="s">
        <v>169</v>
      </c>
      <c r="D989" s="30"/>
      <c r="E989" s="30"/>
      <c r="F989" s="30"/>
      <c r="G989" s="30"/>
      <c r="H989" s="30"/>
    </row>
    <row r="990" spans="1:8" ht="18" customHeight="1" x14ac:dyDescent="0.3">
      <c r="B990" s="27" t="s">
        <v>289</v>
      </c>
      <c r="C990" s="44" t="s">
        <v>1093</v>
      </c>
      <c r="D990" s="30"/>
      <c r="E990" s="30"/>
      <c r="F990" s="30"/>
      <c r="G990" s="30"/>
      <c r="H990" s="30"/>
    </row>
    <row r="991" spans="1:8" ht="18" customHeight="1" x14ac:dyDescent="0.3">
      <c r="B991" s="27" t="s">
        <v>290</v>
      </c>
      <c r="C991" s="44" t="s">
        <v>166</v>
      </c>
      <c r="D991" s="30"/>
      <c r="E991" s="30"/>
      <c r="F991" s="30"/>
      <c r="G991" s="30"/>
      <c r="H991" s="30"/>
    </row>
    <row r="992" spans="1:8" ht="15.9" customHeight="1" x14ac:dyDescent="0.3">
      <c r="B992" s="43" t="s">
        <v>282</v>
      </c>
      <c r="C992" s="30"/>
      <c r="D992" s="30"/>
      <c r="E992" s="30"/>
      <c r="F992" s="30"/>
      <c r="G992" s="30"/>
      <c r="H992" s="30"/>
    </row>
    <row r="993" spans="2:8" ht="30.9" customHeight="1" x14ac:dyDescent="0.3">
      <c r="B993" s="27" t="s">
        <v>291</v>
      </c>
      <c r="C993" s="44" t="s">
        <v>638</v>
      </c>
      <c r="D993" s="30"/>
      <c r="E993" s="30"/>
      <c r="F993" s="30"/>
      <c r="G993" s="30"/>
      <c r="H993" s="30"/>
    </row>
    <row r="994" spans="2:8" ht="18" customHeight="1" x14ac:dyDescent="0.3">
      <c r="B994" s="27" t="s">
        <v>292</v>
      </c>
      <c r="C994" s="44" t="s">
        <v>529</v>
      </c>
      <c r="D994" s="30"/>
      <c r="E994" s="30"/>
      <c r="F994" s="30"/>
      <c r="G994" s="30"/>
      <c r="H994" s="30"/>
    </row>
    <row r="995" spans="2:8" ht="30.9" customHeight="1" x14ac:dyDescent="0.3">
      <c r="B995" s="27" t="s">
        <v>293</v>
      </c>
      <c r="C995" s="44" t="s">
        <v>639</v>
      </c>
      <c r="D995" s="30"/>
      <c r="E995" s="30"/>
      <c r="F995" s="30"/>
      <c r="G995" s="30"/>
      <c r="H995" s="30"/>
    </row>
    <row r="996" spans="2:8" ht="15.9" customHeight="1" x14ac:dyDescent="0.3">
      <c r="B996" s="43" t="s">
        <v>283</v>
      </c>
      <c r="C996" s="30"/>
      <c r="D996" s="30"/>
      <c r="E996" s="30"/>
      <c r="F996" s="30"/>
      <c r="G996" s="30"/>
      <c r="H996" s="30"/>
    </row>
    <row r="997" spans="2:8" ht="18" customHeight="1" x14ac:dyDescent="0.3">
      <c r="B997" s="27" t="s">
        <v>294</v>
      </c>
      <c r="C997" s="44" t="s">
        <v>347</v>
      </c>
      <c r="D997" s="30"/>
      <c r="E997" s="30"/>
      <c r="F997" s="30"/>
      <c r="G997" s="30"/>
      <c r="H997" s="30"/>
    </row>
    <row r="998" spans="2:8" ht="18" customHeight="1" x14ac:dyDescent="0.3">
      <c r="B998" s="27" t="s">
        <v>295</v>
      </c>
      <c r="C998" s="44" t="s">
        <v>348</v>
      </c>
      <c r="D998" s="30"/>
      <c r="E998" s="30"/>
      <c r="F998" s="30"/>
      <c r="G998" s="30"/>
      <c r="H998" s="30"/>
    </row>
    <row r="999" spans="2:8" ht="18" customHeight="1" x14ac:dyDescent="0.3">
      <c r="B999" s="27" t="s">
        <v>296</v>
      </c>
      <c r="C999" s="44" t="s">
        <v>310</v>
      </c>
      <c r="D999" s="30"/>
      <c r="E999" s="30"/>
      <c r="F999" s="30"/>
      <c r="G999" s="30"/>
      <c r="H999" s="30"/>
    </row>
    <row r="1000" spans="2:8" ht="15.9" customHeight="1" x14ac:dyDescent="0.3">
      <c r="B1000" s="43" t="s">
        <v>284</v>
      </c>
      <c r="C1000" s="30"/>
      <c r="D1000" s="30"/>
      <c r="E1000" s="30"/>
      <c r="F1000" s="30"/>
      <c r="G1000" s="30"/>
      <c r="H1000" s="30"/>
    </row>
    <row r="1001" spans="2:8" ht="18" customHeight="1" x14ac:dyDescent="0.3">
      <c r="B1001" s="27" t="s">
        <v>297</v>
      </c>
      <c r="C1001" s="44" t="s">
        <v>640</v>
      </c>
      <c r="D1001" s="30"/>
      <c r="E1001" s="30"/>
      <c r="F1001" s="30"/>
      <c r="G1001" s="30"/>
      <c r="H1001" s="30"/>
    </row>
    <row r="1002" spans="2:8" ht="18" customHeight="1" x14ac:dyDescent="0.3">
      <c r="B1002" s="27" t="s">
        <v>298</v>
      </c>
      <c r="C1002" s="44" t="s">
        <v>641</v>
      </c>
      <c r="D1002" s="30"/>
      <c r="E1002" s="30"/>
      <c r="F1002" s="30"/>
      <c r="G1002" s="30"/>
      <c r="H1002" s="30"/>
    </row>
    <row r="1003" spans="2:8" ht="42.9" customHeight="1" x14ac:dyDescent="0.3">
      <c r="B1003" s="27" t="s">
        <v>299</v>
      </c>
      <c r="C1003" s="44" t="s">
        <v>642</v>
      </c>
      <c r="D1003" s="30"/>
      <c r="E1003" s="30"/>
      <c r="F1003" s="30"/>
      <c r="G1003" s="30"/>
      <c r="H1003" s="30"/>
    </row>
    <row r="1004" spans="2:8" ht="18" customHeight="1" x14ac:dyDescent="0.3">
      <c r="B1004" s="27" t="s">
        <v>300</v>
      </c>
      <c r="C1004" s="44" t="s">
        <v>643</v>
      </c>
      <c r="D1004" s="30"/>
      <c r="E1004" s="30"/>
      <c r="F1004" s="30"/>
      <c r="G1004" s="30"/>
      <c r="H1004" s="30"/>
    </row>
    <row r="1005" spans="2:8" ht="30.9" customHeight="1" x14ac:dyDescent="0.3">
      <c r="B1005" s="27" t="s">
        <v>301</v>
      </c>
      <c r="C1005" s="44" t="s">
        <v>644</v>
      </c>
      <c r="D1005" s="30"/>
      <c r="E1005" s="30"/>
      <c r="F1005" s="30"/>
      <c r="G1005" s="30"/>
      <c r="H1005" s="30"/>
    </row>
    <row r="1006" spans="2:8" ht="15.9" customHeight="1" x14ac:dyDescent="0.3">
      <c r="B1006" s="43" t="s">
        <v>285</v>
      </c>
      <c r="C1006" s="30"/>
      <c r="D1006" s="30"/>
      <c r="E1006" s="30"/>
      <c r="F1006" s="30"/>
      <c r="G1006" s="30"/>
      <c r="H1006" s="30"/>
    </row>
    <row r="1007" spans="2:8" ht="18" customHeight="1" x14ac:dyDescent="0.3">
      <c r="B1007" s="27" t="s">
        <v>302</v>
      </c>
      <c r="C1007" s="44" t="s">
        <v>626</v>
      </c>
      <c r="D1007" s="30"/>
      <c r="E1007" s="30"/>
      <c r="F1007" s="30"/>
      <c r="G1007" s="30"/>
      <c r="H1007" s="30"/>
    </row>
    <row r="1008" spans="2:8" ht="18" customHeight="1" x14ac:dyDescent="0.3">
      <c r="B1008" s="27" t="s">
        <v>303</v>
      </c>
      <c r="C1008" s="44" t="s">
        <v>354</v>
      </c>
      <c r="D1008" s="30"/>
      <c r="E1008" s="30"/>
      <c r="F1008" s="30"/>
      <c r="G1008" s="30"/>
      <c r="H1008" s="30"/>
    </row>
    <row r="1009" spans="1:8" ht="18" customHeight="1" x14ac:dyDescent="0.3">
      <c r="B1009" s="27" t="s">
        <v>304</v>
      </c>
      <c r="C1009" s="44" t="s">
        <v>1095</v>
      </c>
      <c r="D1009" s="30"/>
      <c r="E1009" s="30"/>
      <c r="F1009" s="30"/>
      <c r="G1009" s="30"/>
      <c r="H1009" s="30"/>
    </row>
    <row r="1012" spans="1:8" ht="21.9" customHeight="1" x14ac:dyDescent="0.3">
      <c r="A1012" s="45" t="s">
        <v>1130</v>
      </c>
      <c r="B1012" s="30"/>
      <c r="C1012" s="30"/>
      <c r="D1012" s="30"/>
      <c r="E1012" s="30"/>
      <c r="F1012" s="30"/>
      <c r="G1012" s="30"/>
      <c r="H1012" s="30"/>
    </row>
    <row r="1014" spans="1:8" ht="15.9" customHeight="1" x14ac:dyDescent="0.3">
      <c r="B1014" s="43" t="s">
        <v>3</v>
      </c>
      <c r="C1014" s="30"/>
      <c r="D1014" s="30"/>
      <c r="E1014" s="30"/>
      <c r="F1014" s="30"/>
      <c r="G1014" s="30"/>
      <c r="H1014" s="30"/>
    </row>
    <row r="1015" spans="1:8" ht="18" customHeight="1" x14ac:dyDescent="0.3">
      <c r="B1015" s="27" t="s">
        <v>286</v>
      </c>
      <c r="C1015" s="44" t="s">
        <v>645</v>
      </c>
      <c r="D1015" s="30"/>
      <c r="E1015" s="30"/>
      <c r="F1015" s="30"/>
      <c r="G1015" s="30"/>
      <c r="H1015" s="30"/>
    </row>
    <row r="1016" spans="1:8" ht="18" customHeight="1" x14ac:dyDescent="0.3">
      <c r="B1016" s="27" t="s">
        <v>287</v>
      </c>
      <c r="C1016" s="44" t="s">
        <v>646</v>
      </c>
      <c r="D1016" s="30"/>
      <c r="E1016" s="30"/>
      <c r="F1016" s="30"/>
      <c r="G1016" s="30"/>
      <c r="H1016" s="30"/>
    </row>
    <row r="1017" spans="1:8" ht="18" customHeight="1" x14ac:dyDescent="0.3">
      <c r="B1017" s="27" t="s">
        <v>288</v>
      </c>
      <c r="C1017" s="44" t="s">
        <v>169</v>
      </c>
      <c r="D1017" s="30"/>
      <c r="E1017" s="30"/>
      <c r="F1017" s="30"/>
      <c r="G1017" s="30"/>
      <c r="H1017" s="30"/>
    </row>
    <row r="1018" spans="1:8" ht="18" customHeight="1" x14ac:dyDescent="0.3">
      <c r="B1018" s="27" t="s">
        <v>289</v>
      </c>
      <c r="C1018" s="44" t="s">
        <v>1093</v>
      </c>
      <c r="D1018" s="30"/>
      <c r="E1018" s="30"/>
      <c r="F1018" s="30"/>
      <c r="G1018" s="30"/>
      <c r="H1018" s="30"/>
    </row>
    <row r="1019" spans="1:8" ht="18" customHeight="1" x14ac:dyDescent="0.3">
      <c r="B1019" s="27" t="s">
        <v>290</v>
      </c>
      <c r="C1019" s="44" t="s">
        <v>166</v>
      </c>
      <c r="D1019" s="30"/>
      <c r="E1019" s="30"/>
      <c r="F1019" s="30"/>
      <c r="G1019" s="30"/>
      <c r="H1019" s="30"/>
    </row>
    <row r="1020" spans="1:8" ht="15.9" customHeight="1" x14ac:dyDescent="0.3">
      <c r="B1020" s="43" t="s">
        <v>282</v>
      </c>
      <c r="C1020" s="30"/>
      <c r="D1020" s="30"/>
      <c r="E1020" s="30"/>
      <c r="F1020" s="30"/>
      <c r="G1020" s="30"/>
      <c r="H1020" s="30"/>
    </row>
    <row r="1021" spans="1:8" ht="18" customHeight="1" x14ac:dyDescent="0.3">
      <c r="B1021" s="27" t="s">
        <v>291</v>
      </c>
      <c r="C1021" s="44" t="s">
        <v>647</v>
      </c>
      <c r="D1021" s="30"/>
      <c r="E1021" s="30"/>
      <c r="F1021" s="30"/>
      <c r="G1021" s="30"/>
      <c r="H1021" s="30"/>
    </row>
    <row r="1022" spans="1:8" ht="18" customHeight="1" x14ac:dyDescent="0.3">
      <c r="B1022" s="27" t="s">
        <v>292</v>
      </c>
      <c r="C1022" s="44" t="s">
        <v>529</v>
      </c>
      <c r="D1022" s="30"/>
      <c r="E1022" s="30"/>
      <c r="F1022" s="30"/>
      <c r="G1022" s="30"/>
      <c r="H1022" s="30"/>
    </row>
    <row r="1023" spans="1:8" ht="30.9" customHeight="1" x14ac:dyDescent="0.3">
      <c r="B1023" s="27" t="s">
        <v>293</v>
      </c>
      <c r="C1023" s="44" t="s">
        <v>648</v>
      </c>
      <c r="D1023" s="30"/>
      <c r="E1023" s="30"/>
      <c r="F1023" s="30"/>
      <c r="G1023" s="30"/>
      <c r="H1023" s="30"/>
    </row>
    <row r="1024" spans="1:8" ht="15.9" customHeight="1" x14ac:dyDescent="0.3">
      <c r="B1024" s="43" t="s">
        <v>283</v>
      </c>
      <c r="C1024" s="30"/>
      <c r="D1024" s="30"/>
      <c r="E1024" s="30"/>
      <c r="F1024" s="30"/>
      <c r="G1024" s="30"/>
      <c r="H1024" s="30"/>
    </row>
    <row r="1025" spans="1:8" ht="18" customHeight="1" x14ac:dyDescent="0.3">
      <c r="B1025" s="27" t="s">
        <v>294</v>
      </c>
      <c r="C1025" s="44" t="s">
        <v>308</v>
      </c>
      <c r="D1025" s="30"/>
      <c r="E1025" s="30"/>
      <c r="F1025" s="30"/>
      <c r="G1025" s="30"/>
      <c r="H1025" s="30"/>
    </row>
    <row r="1026" spans="1:8" ht="18" customHeight="1" x14ac:dyDescent="0.3">
      <c r="B1026" s="27" t="s">
        <v>295</v>
      </c>
      <c r="C1026" s="44" t="s">
        <v>309</v>
      </c>
      <c r="D1026" s="30"/>
      <c r="E1026" s="30"/>
      <c r="F1026" s="30"/>
      <c r="G1026" s="30"/>
      <c r="H1026" s="30"/>
    </row>
    <row r="1027" spans="1:8" ht="18" customHeight="1" x14ac:dyDescent="0.3">
      <c r="B1027" s="27" t="s">
        <v>296</v>
      </c>
      <c r="C1027" s="44" t="s">
        <v>310</v>
      </c>
      <c r="D1027" s="30"/>
      <c r="E1027" s="30"/>
      <c r="F1027" s="30"/>
      <c r="G1027" s="30"/>
      <c r="H1027" s="30"/>
    </row>
    <row r="1028" spans="1:8" ht="15.9" customHeight="1" x14ac:dyDescent="0.3">
      <c r="B1028" s="43" t="s">
        <v>284</v>
      </c>
      <c r="C1028" s="30"/>
      <c r="D1028" s="30"/>
      <c r="E1028" s="30"/>
      <c r="F1028" s="30"/>
      <c r="G1028" s="30"/>
      <c r="H1028" s="30"/>
    </row>
    <row r="1029" spans="1:8" ht="18" customHeight="1" x14ac:dyDescent="0.3">
      <c r="B1029" s="27" t="s">
        <v>297</v>
      </c>
      <c r="C1029" s="44" t="s">
        <v>649</v>
      </c>
      <c r="D1029" s="30"/>
      <c r="E1029" s="30"/>
      <c r="F1029" s="30"/>
      <c r="G1029" s="30"/>
      <c r="H1029" s="30"/>
    </row>
    <row r="1030" spans="1:8" ht="18" customHeight="1" x14ac:dyDescent="0.3">
      <c r="B1030" s="27" t="s">
        <v>298</v>
      </c>
      <c r="C1030" s="44" t="s">
        <v>650</v>
      </c>
      <c r="D1030" s="30"/>
      <c r="E1030" s="30"/>
      <c r="F1030" s="30"/>
      <c r="G1030" s="30"/>
      <c r="H1030" s="30"/>
    </row>
    <row r="1031" spans="1:8" ht="42.9" customHeight="1" x14ac:dyDescent="0.3">
      <c r="B1031" s="27" t="s">
        <v>299</v>
      </c>
      <c r="C1031" s="44" t="s">
        <v>651</v>
      </c>
      <c r="D1031" s="30"/>
      <c r="E1031" s="30"/>
      <c r="F1031" s="30"/>
      <c r="G1031" s="30"/>
      <c r="H1031" s="30"/>
    </row>
    <row r="1032" spans="1:8" ht="30.9" customHeight="1" x14ac:dyDescent="0.3">
      <c r="B1032" s="27" t="s">
        <v>300</v>
      </c>
      <c r="C1032" s="44" t="s">
        <v>652</v>
      </c>
      <c r="D1032" s="30"/>
      <c r="E1032" s="30"/>
      <c r="F1032" s="30"/>
      <c r="G1032" s="30"/>
      <c r="H1032" s="30"/>
    </row>
    <row r="1033" spans="1:8" ht="30.9" customHeight="1" x14ac:dyDescent="0.3">
      <c r="B1033" s="27" t="s">
        <v>301</v>
      </c>
      <c r="C1033" s="44" t="s">
        <v>653</v>
      </c>
      <c r="D1033" s="30"/>
      <c r="E1033" s="30"/>
      <c r="F1033" s="30"/>
      <c r="G1033" s="30"/>
      <c r="H1033" s="30"/>
    </row>
    <row r="1034" spans="1:8" ht="15.9" customHeight="1" x14ac:dyDescent="0.3">
      <c r="B1034" s="43" t="s">
        <v>285</v>
      </c>
      <c r="C1034" s="30"/>
      <c r="D1034" s="30"/>
      <c r="E1034" s="30"/>
      <c r="F1034" s="30"/>
      <c r="G1034" s="30"/>
      <c r="H1034" s="30"/>
    </row>
    <row r="1035" spans="1:8" ht="18" customHeight="1" x14ac:dyDescent="0.3">
      <c r="B1035" s="27" t="s">
        <v>302</v>
      </c>
      <c r="C1035" s="44" t="s">
        <v>516</v>
      </c>
      <c r="D1035" s="30"/>
      <c r="E1035" s="30"/>
      <c r="F1035" s="30"/>
      <c r="G1035" s="30"/>
      <c r="H1035" s="30"/>
    </row>
    <row r="1036" spans="1:8" ht="18" customHeight="1" x14ac:dyDescent="0.3">
      <c r="B1036" s="27" t="s">
        <v>303</v>
      </c>
      <c r="C1036" s="44" t="s">
        <v>654</v>
      </c>
      <c r="D1036" s="30"/>
      <c r="E1036" s="30"/>
      <c r="F1036" s="30"/>
      <c r="G1036" s="30"/>
      <c r="H1036" s="30"/>
    </row>
    <row r="1037" spans="1:8" ht="18" customHeight="1" x14ac:dyDescent="0.3">
      <c r="B1037" s="27" t="s">
        <v>304</v>
      </c>
      <c r="C1037" s="44" t="s">
        <v>1095</v>
      </c>
      <c r="D1037" s="30"/>
      <c r="E1037" s="30"/>
      <c r="F1037" s="30"/>
      <c r="G1037" s="30"/>
      <c r="H1037" s="30"/>
    </row>
    <row r="1040" spans="1:8" ht="21.9" customHeight="1" x14ac:dyDescent="0.3">
      <c r="A1040" s="45" t="s">
        <v>1131</v>
      </c>
      <c r="B1040" s="30"/>
      <c r="C1040" s="30"/>
      <c r="D1040" s="30"/>
      <c r="E1040" s="30"/>
      <c r="F1040" s="30"/>
      <c r="G1040" s="30"/>
      <c r="H1040" s="30"/>
    </row>
    <row r="1042" spans="2:8" ht="15.9" customHeight="1" x14ac:dyDescent="0.3">
      <c r="B1042" s="43" t="s">
        <v>3</v>
      </c>
      <c r="C1042" s="30"/>
      <c r="D1042" s="30"/>
      <c r="E1042" s="30"/>
      <c r="F1042" s="30"/>
      <c r="G1042" s="30"/>
      <c r="H1042" s="30"/>
    </row>
    <row r="1043" spans="2:8" ht="18" customHeight="1" x14ac:dyDescent="0.3">
      <c r="B1043" s="27" t="s">
        <v>286</v>
      </c>
      <c r="C1043" s="44" t="s">
        <v>654</v>
      </c>
      <c r="D1043" s="30"/>
      <c r="E1043" s="30"/>
      <c r="F1043" s="30"/>
      <c r="G1043" s="30"/>
      <c r="H1043" s="30"/>
    </row>
    <row r="1044" spans="2:8" ht="18" customHeight="1" x14ac:dyDescent="0.3">
      <c r="B1044" s="27" t="s">
        <v>287</v>
      </c>
      <c r="C1044" s="44" t="s">
        <v>655</v>
      </c>
      <c r="D1044" s="30"/>
      <c r="E1044" s="30"/>
      <c r="F1044" s="30"/>
      <c r="G1044" s="30"/>
      <c r="H1044" s="30"/>
    </row>
    <row r="1045" spans="2:8" ht="18" customHeight="1" x14ac:dyDescent="0.3">
      <c r="B1045" s="27" t="s">
        <v>288</v>
      </c>
      <c r="C1045" s="44" t="s">
        <v>169</v>
      </c>
      <c r="D1045" s="30"/>
      <c r="E1045" s="30"/>
      <c r="F1045" s="30"/>
      <c r="G1045" s="30"/>
      <c r="H1045" s="30"/>
    </row>
    <row r="1046" spans="2:8" ht="18" customHeight="1" x14ac:dyDescent="0.3">
      <c r="B1046" s="27" t="s">
        <v>289</v>
      </c>
      <c r="C1046" s="44" t="s">
        <v>1093</v>
      </c>
      <c r="D1046" s="30"/>
      <c r="E1046" s="30"/>
      <c r="F1046" s="30"/>
      <c r="G1046" s="30"/>
      <c r="H1046" s="30"/>
    </row>
    <row r="1047" spans="2:8" ht="18" customHeight="1" x14ac:dyDescent="0.3">
      <c r="B1047" s="27" t="s">
        <v>290</v>
      </c>
      <c r="C1047" s="44" t="s">
        <v>166</v>
      </c>
      <c r="D1047" s="30"/>
      <c r="E1047" s="30"/>
      <c r="F1047" s="30"/>
      <c r="G1047" s="30"/>
      <c r="H1047" s="30"/>
    </row>
    <row r="1048" spans="2:8" ht="15.9" customHeight="1" x14ac:dyDescent="0.3">
      <c r="B1048" s="43" t="s">
        <v>282</v>
      </c>
      <c r="C1048" s="30"/>
      <c r="D1048" s="30"/>
      <c r="E1048" s="30"/>
      <c r="F1048" s="30"/>
      <c r="G1048" s="30"/>
      <c r="H1048" s="30"/>
    </row>
    <row r="1049" spans="2:8" ht="30.9" customHeight="1" x14ac:dyDescent="0.3">
      <c r="B1049" s="27" t="s">
        <v>291</v>
      </c>
      <c r="C1049" s="44" t="s">
        <v>656</v>
      </c>
      <c r="D1049" s="30"/>
      <c r="E1049" s="30"/>
      <c r="F1049" s="30"/>
      <c r="G1049" s="30"/>
      <c r="H1049" s="30"/>
    </row>
    <row r="1050" spans="2:8" ht="18" customHeight="1" x14ac:dyDescent="0.3">
      <c r="B1050" s="27" t="s">
        <v>292</v>
      </c>
      <c r="C1050" s="44" t="s">
        <v>529</v>
      </c>
      <c r="D1050" s="30"/>
      <c r="E1050" s="30"/>
      <c r="F1050" s="30"/>
      <c r="G1050" s="30"/>
      <c r="H1050" s="30"/>
    </row>
    <row r="1051" spans="2:8" ht="30.9" customHeight="1" x14ac:dyDescent="0.3">
      <c r="B1051" s="27" t="s">
        <v>293</v>
      </c>
      <c r="C1051" s="44" t="s">
        <v>657</v>
      </c>
      <c r="D1051" s="30"/>
      <c r="E1051" s="30"/>
      <c r="F1051" s="30"/>
      <c r="G1051" s="30"/>
      <c r="H1051" s="30"/>
    </row>
    <row r="1052" spans="2:8" ht="15.9" customHeight="1" x14ac:dyDescent="0.3">
      <c r="B1052" s="43" t="s">
        <v>283</v>
      </c>
      <c r="C1052" s="30"/>
      <c r="D1052" s="30"/>
      <c r="E1052" s="30"/>
      <c r="F1052" s="30"/>
      <c r="G1052" s="30"/>
      <c r="H1052" s="30"/>
    </row>
    <row r="1053" spans="2:8" ht="18" customHeight="1" x14ac:dyDescent="0.3">
      <c r="B1053" s="27" t="s">
        <v>294</v>
      </c>
      <c r="C1053" s="44" t="s">
        <v>308</v>
      </c>
      <c r="D1053" s="30"/>
      <c r="E1053" s="30"/>
      <c r="F1053" s="30"/>
      <c r="G1053" s="30"/>
      <c r="H1053" s="30"/>
    </row>
    <row r="1054" spans="2:8" ht="18" customHeight="1" x14ac:dyDescent="0.3">
      <c r="B1054" s="27" t="s">
        <v>295</v>
      </c>
      <c r="C1054" s="44" t="s">
        <v>309</v>
      </c>
      <c r="D1054" s="30"/>
      <c r="E1054" s="30"/>
      <c r="F1054" s="30"/>
      <c r="G1054" s="30"/>
      <c r="H1054" s="30"/>
    </row>
    <row r="1055" spans="2:8" ht="18" customHeight="1" x14ac:dyDescent="0.3">
      <c r="B1055" s="27" t="s">
        <v>296</v>
      </c>
      <c r="C1055" s="44" t="s">
        <v>310</v>
      </c>
      <c r="D1055" s="30"/>
      <c r="E1055" s="30"/>
      <c r="F1055" s="30"/>
      <c r="G1055" s="30"/>
      <c r="H1055" s="30"/>
    </row>
    <row r="1056" spans="2:8" ht="15.9" customHeight="1" x14ac:dyDescent="0.3">
      <c r="B1056" s="43" t="s">
        <v>284</v>
      </c>
      <c r="C1056" s="30"/>
      <c r="D1056" s="30"/>
      <c r="E1056" s="30"/>
      <c r="F1056" s="30"/>
      <c r="G1056" s="30"/>
      <c r="H1056" s="30"/>
    </row>
    <row r="1057" spans="1:8" ht="18" customHeight="1" x14ac:dyDescent="0.3">
      <c r="B1057" s="27" t="s">
        <v>297</v>
      </c>
      <c r="C1057" s="44" t="s">
        <v>658</v>
      </c>
      <c r="D1057" s="30"/>
      <c r="E1057" s="30"/>
      <c r="F1057" s="30"/>
      <c r="G1057" s="30"/>
      <c r="H1057" s="30"/>
    </row>
    <row r="1058" spans="1:8" ht="18" customHeight="1" x14ac:dyDescent="0.3">
      <c r="B1058" s="27" t="s">
        <v>298</v>
      </c>
      <c r="C1058" s="44" t="s">
        <v>482</v>
      </c>
      <c r="D1058" s="30"/>
      <c r="E1058" s="30"/>
      <c r="F1058" s="30"/>
      <c r="G1058" s="30"/>
      <c r="H1058" s="30"/>
    </row>
    <row r="1059" spans="1:8" ht="42.9" customHeight="1" x14ac:dyDescent="0.3">
      <c r="B1059" s="27" t="s">
        <v>299</v>
      </c>
      <c r="C1059" s="44" t="s">
        <v>659</v>
      </c>
      <c r="D1059" s="30"/>
      <c r="E1059" s="30"/>
      <c r="F1059" s="30"/>
      <c r="G1059" s="30"/>
      <c r="H1059" s="30"/>
    </row>
    <row r="1060" spans="1:8" ht="18" customHeight="1" x14ac:dyDescent="0.3">
      <c r="B1060" s="27" t="s">
        <v>300</v>
      </c>
      <c r="C1060" s="44" t="s">
        <v>660</v>
      </c>
      <c r="D1060" s="30"/>
      <c r="E1060" s="30"/>
      <c r="F1060" s="30"/>
      <c r="G1060" s="30"/>
      <c r="H1060" s="30"/>
    </row>
    <row r="1061" spans="1:8" ht="30.9" customHeight="1" x14ac:dyDescent="0.3">
      <c r="B1061" s="27" t="s">
        <v>301</v>
      </c>
      <c r="C1061" s="44" t="s">
        <v>661</v>
      </c>
      <c r="D1061" s="30"/>
      <c r="E1061" s="30"/>
      <c r="F1061" s="30"/>
      <c r="G1061" s="30"/>
      <c r="H1061" s="30"/>
    </row>
    <row r="1062" spans="1:8" ht="15.9" customHeight="1" x14ac:dyDescent="0.3">
      <c r="B1062" s="43" t="s">
        <v>285</v>
      </c>
      <c r="C1062" s="30"/>
      <c r="D1062" s="30"/>
      <c r="E1062" s="30"/>
      <c r="F1062" s="30"/>
      <c r="G1062" s="30"/>
      <c r="H1062" s="30"/>
    </row>
    <row r="1063" spans="1:8" ht="18" customHeight="1" x14ac:dyDescent="0.3">
      <c r="B1063" s="27" t="s">
        <v>302</v>
      </c>
      <c r="C1063" s="44" t="s">
        <v>662</v>
      </c>
      <c r="D1063" s="30"/>
      <c r="E1063" s="30"/>
      <c r="F1063" s="30"/>
      <c r="G1063" s="30"/>
      <c r="H1063" s="30"/>
    </row>
    <row r="1064" spans="1:8" ht="18" customHeight="1" x14ac:dyDescent="0.3">
      <c r="B1064" s="27" t="s">
        <v>303</v>
      </c>
      <c r="C1064" s="44" t="s">
        <v>354</v>
      </c>
      <c r="D1064" s="30"/>
      <c r="E1064" s="30"/>
      <c r="F1064" s="30"/>
      <c r="G1064" s="30"/>
      <c r="H1064" s="30"/>
    </row>
    <row r="1065" spans="1:8" ht="18" customHeight="1" x14ac:dyDescent="0.3">
      <c r="B1065" s="27" t="s">
        <v>304</v>
      </c>
      <c r="C1065" s="44" t="s">
        <v>1095</v>
      </c>
      <c r="D1065" s="30"/>
      <c r="E1065" s="30"/>
      <c r="F1065" s="30"/>
      <c r="G1065" s="30"/>
      <c r="H1065" s="30"/>
    </row>
    <row r="1068" spans="1:8" ht="21.9" customHeight="1" x14ac:dyDescent="0.3">
      <c r="A1068" s="45" t="s">
        <v>1132</v>
      </c>
      <c r="B1068" s="30"/>
      <c r="C1068" s="30"/>
      <c r="D1068" s="30"/>
      <c r="E1068" s="30"/>
      <c r="F1068" s="30"/>
      <c r="G1068" s="30"/>
      <c r="H1068" s="30"/>
    </row>
    <row r="1070" spans="1:8" ht="15.9" customHeight="1" x14ac:dyDescent="0.3">
      <c r="B1070" s="43" t="s">
        <v>3</v>
      </c>
      <c r="C1070" s="30"/>
      <c r="D1070" s="30"/>
      <c r="E1070" s="30"/>
      <c r="F1070" s="30"/>
      <c r="G1070" s="30"/>
      <c r="H1070" s="30"/>
    </row>
    <row r="1071" spans="1:8" ht="18" customHeight="1" x14ac:dyDescent="0.3">
      <c r="B1071" s="27" t="s">
        <v>286</v>
      </c>
      <c r="C1071" s="44" t="s">
        <v>663</v>
      </c>
      <c r="D1071" s="30"/>
      <c r="E1071" s="30"/>
      <c r="F1071" s="30"/>
      <c r="G1071" s="30"/>
      <c r="H1071" s="30"/>
    </row>
    <row r="1072" spans="1:8" ht="18" customHeight="1" x14ac:dyDescent="0.3">
      <c r="B1072" s="27" t="s">
        <v>287</v>
      </c>
      <c r="C1072" s="44" t="s">
        <v>664</v>
      </c>
      <c r="D1072" s="30"/>
      <c r="E1072" s="30"/>
      <c r="F1072" s="30"/>
      <c r="G1072" s="30"/>
      <c r="H1072" s="30"/>
    </row>
    <row r="1073" spans="2:8" ht="18" customHeight="1" x14ac:dyDescent="0.3">
      <c r="B1073" s="27" t="s">
        <v>288</v>
      </c>
      <c r="C1073" s="44" t="s">
        <v>169</v>
      </c>
      <c r="D1073" s="30"/>
      <c r="E1073" s="30"/>
      <c r="F1073" s="30"/>
      <c r="G1073" s="30"/>
      <c r="H1073" s="30"/>
    </row>
    <row r="1074" spans="2:8" ht="18" customHeight="1" x14ac:dyDescent="0.3">
      <c r="B1074" s="27" t="s">
        <v>289</v>
      </c>
      <c r="C1074" s="44" t="s">
        <v>1093</v>
      </c>
      <c r="D1074" s="30"/>
      <c r="E1074" s="30"/>
      <c r="F1074" s="30"/>
      <c r="G1074" s="30"/>
      <c r="H1074" s="30"/>
    </row>
    <row r="1075" spans="2:8" ht="18" customHeight="1" x14ac:dyDescent="0.3">
      <c r="B1075" s="27" t="s">
        <v>290</v>
      </c>
      <c r="C1075" s="44" t="s">
        <v>166</v>
      </c>
      <c r="D1075" s="30"/>
      <c r="E1075" s="30"/>
      <c r="F1075" s="30"/>
      <c r="G1075" s="30"/>
      <c r="H1075" s="30"/>
    </row>
    <row r="1076" spans="2:8" ht="15.9" customHeight="1" x14ac:dyDescent="0.3">
      <c r="B1076" s="43" t="s">
        <v>282</v>
      </c>
      <c r="C1076" s="30"/>
      <c r="D1076" s="30"/>
      <c r="E1076" s="30"/>
      <c r="F1076" s="30"/>
      <c r="G1076" s="30"/>
      <c r="H1076" s="30"/>
    </row>
    <row r="1077" spans="2:8" ht="30.9" customHeight="1" x14ac:dyDescent="0.3">
      <c r="B1077" s="27" t="s">
        <v>291</v>
      </c>
      <c r="C1077" s="44" t="s">
        <v>665</v>
      </c>
      <c r="D1077" s="30"/>
      <c r="E1077" s="30"/>
      <c r="F1077" s="30"/>
      <c r="G1077" s="30"/>
      <c r="H1077" s="30"/>
    </row>
    <row r="1078" spans="2:8" ht="18" customHeight="1" x14ac:dyDescent="0.3">
      <c r="B1078" s="27" t="s">
        <v>292</v>
      </c>
      <c r="C1078" s="44" t="s">
        <v>529</v>
      </c>
      <c r="D1078" s="30"/>
      <c r="E1078" s="30"/>
      <c r="F1078" s="30"/>
      <c r="G1078" s="30"/>
      <c r="H1078" s="30"/>
    </row>
    <row r="1079" spans="2:8" ht="18" customHeight="1" x14ac:dyDescent="0.3">
      <c r="B1079" s="27" t="s">
        <v>293</v>
      </c>
      <c r="C1079" s="44" t="s">
        <v>666</v>
      </c>
      <c r="D1079" s="30"/>
      <c r="E1079" s="30"/>
      <c r="F1079" s="30"/>
      <c r="G1079" s="30"/>
      <c r="H1079" s="30"/>
    </row>
    <row r="1080" spans="2:8" ht="15.9" customHeight="1" x14ac:dyDescent="0.3">
      <c r="B1080" s="43" t="s">
        <v>283</v>
      </c>
      <c r="C1080" s="30"/>
      <c r="D1080" s="30"/>
      <c r="E1080" s="30"/>
      <c r="F1080" s="30"/>
      <c r="G1080" s="30"/>
      <c r="H1080" s="30"/>
    </row>
    <row r="1081" spans="2:8" ht="18" customHeight="1" x14ac:dyDescent="0.3">
      <c r="B1081" s="27" t="s">
        <v>294</v>
      </c>
      <c r="C1081" s="44" t="s">
        <v>308</v>
      </c>
      <c r="D1081" s="30"/>
      <c r="E1081" s="30"/>
      <c r="F1081" s="30"/>
      <c r="G1081" s="30"/>
      <c r="H1081" s="30"/>
    </row>
    <row r="1082" spans="2:8" ht="18" customHeight="1" x14ac:dyDescent="0.3">
      <c r="B1082" s="27" t="s">
        <v>295</v>
      </c>
      <c r="C1082" s="44" t="s">
        <v>309</v>
      </c>
      <c r="D1082" s="30"/>
      <c r="E1082" s="30"/>
      <c r="F1082" s="30"/>
      <c r="G1082" s="30"/>
      <c r="H1082" s="30"/>
    </row>
    <row r="1083" spans="2:8" ht="18" customHeight="1" x14ac:dyDescent="0.3">
      <c r="B1083" s="27" t="s">
        <v>296</v>
      </c>
      <c r="C1083" s="44" t="s">
        <v>310</v>
      </c>
      <c r="D1083" s="30"/>
      <c r="E1083" s="30"/>
      <c r="F1083" s="30"/>
      <c r="G1083" s="30"/>
      <c r="H1083" s="30"/>
    </row>
    <row r="1084" spans="2:8" ht="15.9" customHeight="1" x14ac:dyDescent="0.3">
      <c r="B1084" s="43" t="s">
        <v>284</v>
      </c>
      <c r="C1084" s="30"/>
      <c r="D1084" s="30"/>
      <c r="E1084" s="30"/>
      <c r="F1084" s="30"/>
      <c r="G1084" s="30"/>
      <c r="H1084" s="30"/>
    </row>
    <row r="1085" spans="2:8" ht="18" customHeight="1" x14ac:dyDescent="0.3">
      <c r="B1085" s="27" t="s">
        <v>297</v>
      </c>
      <c r="C1085" s="44" t="s">
        <v>649</v>
      </c>
      <c r="D1085" s="30"/>
      <c r="E1085" s="30"/>
      <c r="F1085" s="30"/>
      <c r="G1085" s="30"/>
      <c r="H1085" s="30"/>
    </row>
    <row r="1086" spans="2:8" ht="18" customHeight="1" x14ac:dyDescent="0.3">
      <c r="B1086" s="27" t="s">
        <v>298</v>
      </c>
      <c r="C1086" s="44" t="s">
        <v>667</v>
      </c>
      <c r="D1086" s="30"/>
      <c r="E1086" s="30"/>
      <c r="F1086" s="30"/>
      <c r="G1086" s="30"/>
      <c r="H1086" s="30"/>
    </row>
    <row r="1087" spans="2:8" ht="42.9" customHeight="1" x14ac:dyDescent="0.3">
      <c r="B1087" s="27" t="s">
        <v>299</v>
      </c>
      <c r="C1087" s="44" t="s">
        <v>668</v>
      </c>
      <c r="D1087" s="30"/>
      <c r="E1087" s="30"/>
      <c r="F1087" s="30"/>
      <c r="G1087" s="30"/>
      <c r="H1087" s="30"/>
    </row>
    <row r="1088" spans="2:8" ht="30.9" customHeight="1" x14ac:dyDescent="0.3">
      <c r="B1088" s="27" t="s">
        <v>300</v>
      </c>
      <c r="C1088" s="44" t="s">
        <v>669</v>
      </c>
      <c r="D1088" s="30"/>
      <c r="E1088" s="30"/>
      <c r="F1088" s="30"/>
      <c r="G1088" s="30"/>
      <c r="H1088" s="30"/>
    </row>
    <row r="1089" spans="1:8" ht="30.9" customHeight="1" x14ac:dyDescent="0.3">
      <c r="B1089" s="27" t="s">
        <v>301</v>
      </c>
      <c r="C1089" s="44" t="s">
        <v>670</v>
      </c>
      <c r="D1089" s="30"/>
      <c r="E1089" s="30"/>
      <c r="F1089" s="30"/>
      <c r="G1089" s="30"/>
      <c r="H1089" s="30"/>
    </row>
    <row r="1090" spans="1:8" ht="15.9" customHeight="1" x14ac:dyDescent="0.3">
      <c r="B1090" s="43" t="s">
        <v>285</v>
      </c>
      <c r="C1090" s="30"/>
      <c r="D1090" s="30"/>
      <c r="E1090" s="30"/>
      <c r="F1090" s="30"/>
      <c r="G1090" s="30"/>
      <c r="H1090" s="30"/>
    </row>
    <row r="1091" spans="1:8" ht="18" customHeight="1" x14ac:dyDescent="0.3">
      <c r="B1091" s="27" t="s">
        <v>302</v>
      </c>
      <c r="C1091" s="44" t="s">
        <v>516</v>
      </c>
      <c r="D1091" s="30"/>
      <c r="E1091" s="30"/>
      <c r="F1091" s="30"/>
      <c r="G1091" s="30"/>
      <c r="H1091" s="30"/>
    </row>
    <row r="1092" spans="1:8" ht="18" customHeight="1" x14ac:dyDescent="0.3">
      <c r="B1092" s="27" t="s">
        <v>303</v>
      </c>
      <c r="C1092" s="44" t="s">
        <v>671</v>
      </c>
      <c r="D1092" s="30"/>
      <c r="E1092" s="30"/>
      <c r="F1092" s="30"/>
      <c r="G1092" s="30"/>
      <c r="H1092" s="30"/>
    </row>
    <row r="1093" spans="1:8" ht="18" customHeight="1" x14ac:dyDescent="0.3">
      <c r="B1093" s="27" t="s">
        <v>304</v>
      </c>
      <c r="C1093" s="44" t="s">
        <v>1095</v>
      </c>
      <c r="D1093" s="30"/>
      <c r="E1093" s="30"/>
      <c r="F1093" s="30"/>
      <c r="G1093" s="30"/>
      <c r="H1093" s="30"/>
    </row>
    <row r="1096" spans="1:8" ht="21.9" customHeight="1" x14ac:dyDescent="0.3">
      <c r="A1096" s="45" t="s">
        <v>1133</v>
      </c>
      <c r="B1096" s="30"/>
      <c r="C1096" s="30"/>
      <c r="D1096" s="30"/>
      <c r="E1096" s="30"/>
      <c r="F1096" s="30"/>
      <c r="G1096" s="30"/>
      <c r="H1096" s="30"/>
    </row>
    <row r="1098" spans="1:8" ht="15.9" customHeight="1" x14ac:dyDescent="0.3">
      <c r="B1098" s="43" t="s">
        <v>3</v>
      </c>
      <c r="C1098" s="30"/>
      <c r="D1098" s="30"/>
      <c r="E1098" s="30"/>
      <c r="F1098" s="30"/>
      <c r="G1098" s="30"/>
      <c r="H1098" s="30"/>
    </row>
    <row r="1099" spans="1:8" ht="18" customHeight="1" x14ac:dyDescent="0.3">
      <c r="B1099" s="27" t="s">
        <v>286</v>
      </c>
      <c r="C1099" s="44" t="s">
        <v>671</v>
      </c>
      <c r="D1099" s="30"/>
      <c r="E1099" s="30"/>
      <c r="F1099" s="30"/>
      <c r="G1099" s="30"/>
      <c r="H1099" s="30"/>
    </row>
    <row r="1100" spans="1:8" ht="18" customHeight="1" x14ac:dyDescent="0.3">
      <c r="B1100" s="27" t="s">
        <v>287</v>
      </c>
      <c r="C1100" s="44" t="s">
        <v>672</v>
      </c>
      <c r="D1100" s="30"/>
      <c r="E1100" s="30"/>
      <c r="F1100" s="30"/>
      <c r="G1100" s="30"/>
      <c r="H1100" s="30"/>
    </row>
    <row r="1101" spans="1:8" ht="18" customHeight="1" x14ac:dyDescent="0.3">
      <c r="B1101" s="27" t="s">
        <v>288</v>
      </c>
      <c r="C1101" s="44" t="s">
        <v>169</v>
      </c>
      <c r="D1101" s="30"/>
      <c r="E1101" s="30"/>
      <c r="F1101" s="30"/>
      <c r="G1101" s="30"/>
      <c r="H1101" s="30"/>
    </row>
    <row r="1102" spans="1:8" ht="18" customHeight="1" x14ac:dyDescent="0.3">
      <c r="B1102" s="27" t="s">
        <v>289</v>
      </c>
      <c r="C1102" s="44" t="s">
        <v>1093</v>
      </c>
      <c r="D1102" s="30"/>
      <c r="E1102" s="30"/>
      <c r="F1102" s="30"/>
      <c r="G1102" s="30"/>
      <c r="H1102" s="30"/>
    </row>
    <row r="1103" spans="1:8" ht="18" customHeight="1" x14ac:dyDescent="0.3">
      <c r="B1103" s="27" t="s">
        <v>290</v>
      </c>
      <c r="C1103" s="44" t="s">
        <v>166</v>
      </c>
      <c r="D1103" s="30"/>
      <c r="E1103" s="30"/>
      <c r="F1103" s="30"/>
      <c r="G1103" s="30"/>
      <c r="H1103" s="30"/>
    </row>
    <row r="1104" spans="1:8" ht="15.9" customHeight="1" x14ac:dyDescent="0.3">
      <c r="B1104" s="43" t="s">
        <v>282</v>
      </c>
      <c r="C1104" s="30"/>
      <c r="D1104" s="30"/>
      <c r="E1104" s="30"/>
      <c r="F1104" s="30"/>
      <c r="G1104" s="30"/>
      <c r="H1104" s="30"/>
    </row>
    <row r="1105" spans="2:8" ht="30.9" customHeight="1" x14ac:dyDescent="0.3">
      <c r="B1105" s="27" t="s">
        <v>291</v>
      </c>
      <c r="C1105" s="44" t="s">
        <v>673</v>
      </c>
      <c r="D1105" s="30"/>
      <c r="E1105" s="30"/>
      <c r="F1105" s="30"/>
      <c r="G1105" s="30"/>
      <c r="H1105" s="30"/>
    </row>
    <row r="1106" spans="2:8" ht="18" customHeight="1" x14ac:dyDescent="0.3">
      <c r="B1106" s="27" t="s">
        <v>292</v>
      </c>
      <c r="C1106" s="44" t="s">
        <v>529</v>
      </c>
      <c r="D1106" s="30"/>
      <c r="E1106" s="30"/>
      <c r="F1106" s="30"/>
      <c r="G1106" s="30"/>
      <c r="H1106" s="30"/>
    </row>
    <row r="1107" spans="2:8" ht="18" customHeight="1" x14ac:dyDescent="0.3">
      <c r="B1107" s="27" t="s">
        <v>293</v>
      </c>
      <c r="C1107" s="44" t="s">
        <v>674</v>
      </c>
      <c r="D1107" s="30"/>
      <c r="E1107" s="30"/>
      <c r="F1107" s="30"/>
      <c r="G1107" s="30"/>
      <c r="H1107" s="30"/>
    </row>
    <row r="1108" spans="2:8" ht="15.9" customHeight="1" x14ac:dyDescent="0.3">
      <c r="B1108" s="43" t="s">
        <v>283</v>
      </c>
      <c r="C1108" s="30"/>
      <c r="D1108" s="30"/>
      <c r="E1108" s="30"/>
      <c r="F1108" s="30"/>
      <c r="G1108" s="30"/>
      <c r="H1108" s="30"/>
    </row>
    <row r="1109" spans="2:8" ht="18" customHeight="1" x14ac:dyDescent="0.3">
      <c r="B1109" s="27" t="s">
        <v>294</v>
      </c>
      <c r="C1109" s="44" t="s">
        <v>308</v>
      </c>
      <c r="D1109" s="30"/>
      <c r="E1109" s="30"/>
      <c r="F1109" s="30"/>
      <c r="G1109" s="30"/>
      <c r="H1109" s="30"/>
    </row>
    <row r="1110" spans="2:8" ht="18" customHeight="1" x14ac:dyDescent="0.3">
      <c r="B1110" s="27" t="s">
        <v>295</v>
      </c>
      <c r="C1110" s="44" t="s">
        <v>309</v>
      </c>
      <c r="D1110" s="30"/>
      <c r="E1110" s="30"/>
      <c r="F1110" s="30"/>
      <c r="G1110" s="30"/>
      <c r="H1110" s="30"/>
    </row>
    <row r="1111" spans="2:8" ht="18" customHeight="1" x14ac:dyDescent="0.3">
      <c r="B1111" s="27" t="s">
        <v>296</v>
      </c>
      <c r="C1111" s="44" t="s">
        <v>509</v>
      </c>
      <c r="D1111" s="30"/>
      <c r="E1111" s="30"/>
      <c r="F1111" s="30"/>
      <c r="G1111" s="30"/>
      <c r="H1111" s="30"/>
    </row>
    <row r="1112" spans="2:8" ht="15.9" customHeight="1" x14ac:dyDescent="0.3">
      <c r="B1112" s="43" t="s">
        <v>284</v>
      </c>
      <c r="C1112" s="30"/>
      <c r="D1112" s="30"/>
      <c r="E1112" s="30"/>
      <c r="F1112" s="30"/>
      <c r="G1112" s="30"/>
      <c r="H1112" s="30"/>
    </row>
    <row r="1113" spans="2:8" ht="18" customHeight="1" x14ac:dyDescent="0.3">
      <c r="B1113" s="27" t="s">
        <v>297</v>
      </c>
      <c r="C1113" s="44" t="s">
        <v>675</v>
      </c>
      <c r="D1113" s="30"/>
      <c r="E1113" s="30"/>
      <c r="F1113" s="30"/>
      <c r="G1113" s="30"/>
      <c r="H1113" s="30"/>
    </row>
    <row r="1114" spans="2:8" ht="18" customHeight="1" x14ac:dyDescent="0.3">
      <c r="B1114" s="27" t="s">
        <v>298</v>
      </c>
      <c r="C1114" s="44" t="s">
        <v>511</v>
      </c>
      <c r="D1114" s="30"/>
      <c r="E1114" s="30"/>
      <c r="F1114" s="30"/>
      <c r="G1114" s="30"/>
      <c r="H1114" s="30"/>
    </row>
    <row r="1115" spans="2:8" ht="42.9" customHeight="1" x14ac:dyDescent="0.3">
      <c r="B1115" s="27" t="s">
        <v>299</v>
      </c>
      <c r="C1115" s="44" t="s">
        <v>676</v>
      </c>
      <c r="D1115" s="30"/>
      <c r="E1115" s="30"/>
      <c r="F1115" s="30"/>
      <c r="G1115" s="30"/>
      <c r="H1115" s="30"/>
    </row>
    <row r="1116" spans="2:8" ht="18" customHeight="1" x14ac:dyDescent="0.3">
      <c r="B1116" s="27" t="s">
        <v>300</v>
      </c>
      <c r="C1116" s="44" t="s">
        <v>677</v>
      </c>
      <c r="D1116" s="30"/>
      <c r="E1116" s="30"/>
      <c r="F1116" s="30"/>
      <c r="G1116" s="30"/>
      <c r="H1116" s="30"/>
    </row>
    <row r="1117" spans="2:8" ht="30.9" customHeight="1" x14ac:dyDescent="0.3">
      <c r="B1117" s="27" t="s">
        <v>301</v>
      </c>
      <c r="C1117" s="44" t="s">
        <v>678</v>
      </c>
      <c r="D1117" s="30"/>
      <c r="E1117" s="30"/>
      <c r="F1117" s="30"/>
      <c r="G1117" s="30"/>
      <c r="H1117" s="30"/>
    </row>
    <row r="1118" spans="2:8" ht="15.9" customHeight="1" x14ac:dyDescent="0.3">
      <c r="B1118" s="43" t="s">
        <v>285</v>
      </c>
      <c r="C1118" s="30"/>
      <c r="D1118" s="30"/>
      <c r="E1118" s="30"/>
      <c r="F1118" s="30"/>
      <c r="G1118" s="30"/>
      <c r="H1118" s="30"/>
    </row>
    <row r="1119" spans="2:8" ht="18" customHeight="1" x14ac:dyDescent="0.3">
      <c r="B1119" s="27" t="s">
        <v>302</v>
      </c>
      <c r="C1119" s="44" t="s">
        <v>663</v>
      </c>
      <c r="D1119" s="30"/>
      <c r="E1119" s="30"/>
      <c r="F1119" s="30"/>
      <c r="G1119" s="30"/>
      <c r="H1119" s="30"/>
    </row>
    <row r="1120" spans="2:8" ht="18" customHeight="1" x14ac:dyDescent="0.3">
      <c r="B1120" s="27" t="s">
        <v>303</v>
      </c>
      <c r="C1120" s="44" t="s">
        <v>354</v>
      </c>
      <c r="D1120" s="30"/>
      <c r="E1120" s="30"/>
      <c r="F1120" s="30"/>
      <c r="G1120" s="30"/>
      <c r="H1120" s="30"/>
    </row>
    <row r="1121" spans="1:8" ht="18" customHeight="1" x14ac:dyDescent="0.3">
      <c r="B1121" s="27" t="s">
        <v>304</v>
      </c>
      <c r="C1121" s="44" t="s">
        <v>636</v>
      </c>
      <c r="D1121" s="30"/>
      <c r="E1121" s="30"/>
      <c r="F1121" s="30"/>
      <c r="G1121" s="30"/>
      <c r="H1121" s="30"/>
    </row>
    <row r="1124" spans="1:8" ht="21.9" customHeight="1" x14ac:dyDescent="0.3">
      <c r="A1124" s="45" t="s">
        <v>1134</v>
      </c>
      <c r="B1124" s="30"/>
      <c r="C1124" s="30"/>
      <c r="D1124" s="30"/>
      <c r="E1124" s="30"/>
      <c r="F1124" s="30"/>
      <c r="G1124" s="30"/>
      <c r="H1124" s="30"/>
    </row>
    <row r="1126" spans="1:8" ht="15.9" customHeight="1" x14ac:dyDescent="0.3">
      <c r="B1126" s="43" t="s">
        <v>3</v>
      </c>
      <c r="C1126" s="30"/>
      <c r="D1126" s="30"/>
      <c r="E1126" s="30"/>
      <c r="F1126" s="30"/>
      <c r="G1126" s="30"/>
      <c r="H1126" s="30"/>
    </row>
    <row r="1127" spans="1:8" ht="18" customHeight="1" x14ac:dyDescent="0.3">
      <c r="B1127" s="27" t="s">
        <v>286</v>
      </c>
      <c r="C1127" s="44" t="s">
        <v>679</v>
      </c>
      <c r="D1127" s="30"/>
      <c r="E1127" s="30"/>
      <c r="F1127" s="30"/>
      <c r="G1127" s="30"/>
      <c r="H1127" s="30"/>
    </row>
    <row r="1128" spans="1:8" ht="18" customHeight="1" x14ac:dyDescent="0.3">
      <c r="B1128" s="27" t="s">
        <v>287</v>
      </c>
      <c r="C1128" s="44" t="s">
        <v>680</v>
      </c>
      <c r="D1128" s="30"/>
      <c r="E1128" s="30"/>
      <c r="F1128" s="30"/>
      <c r="G1128" s="30"/>
      <c r="H1128" s="30"/>
    </row>
    <row r="1129" spans="1:8" ht="18" customHeight="1" x14ac:dyDescent="0.3">
      <c r="B1129" s="27" t="s">
        <v>288</v>
      </c>
      <c r="C1129" s="44" t="s">
        <v>169</v>
      </c>
      <c r="D1129" s="30"/>
      <c r="E1129" s="30"/>
      <c r="F1129" s="30"/>
      <c r="G1129" s="30"/>
      <c r="H1129" s="30"/>
    </row>
    <row r="1130" spans="1:8" ht="18" customHeight="1" x14ac:dyDescent="0.3">
      <c r="B1130" s="27" t="s">
        <v>289</v>
      </c>
      <c r="C1130" s="44" t="s">
        <v>1093</v>
      </c>
      <c r="D1130" s="30"/>
      <c r="E1130" s="30"/>
      <c r="F1130" s="30"/>
      <c r="G1130" s="30"/>
      <c r="H1130" s="30"/>
    </row>
    <row r="1131" spans="1:8" ht="18" customHeight="1" x14ac:dyDescent="0.3">
      <c r="B1131" s="27" t="s">
        <v>290</v>
      </c>
      <c r="C1131" s="44" t="s">
        <v>166</v>
      </c>
      <c r="D1131" s="30"/>
      <c r="E1131" s="30"/>
      <c r="F1131" s="30"/>
      <c r="G1131" s="30"/>
      <c r="H1131" s="30"/>
    </row>
    <row r="1132" spans="1:8" ht="15.9" customHeight="1" x14ac:dyDescent="0.3">
      <c r="B1132" s="43" t="s">
        <v>282</v>
      </c>
      <c r="C1132" s="30"/>
      <c r="D1132" s="30"/>
      <c r="E1132" s="30"/>
      <c r="F1132" s="30"/>
      <c r="G1132" s="30"/>
      <c r="H1132" s="30"/>
    </row>
    <row r="1133" spans="1:8" ht="30.9" customHeight="1" x14ac:dyDescent="0.3">
      <c r="B1133" s="27" t="s">
        <v>291</v>
      </c>
      <c r="C1133" s="44" t="s">
        <v>681</v>
      </c>
      <c r="D1133" s="30"/>
      <c r="E1133" s="30"/>
      <c r="F1133" s="30"/>
      <c r="G1133" s="30"/>
      <c r="H1133" s="30"/>
    </row>
    <row r="1134" spans="1:8" ht="18" customHeight="1" x14ac:dyDescent="0.3">
      <c r="B1134" s="27" t="s">
        <v>292</v>
      </c>
      <c r="C1134" s="44" t="s">
        <v>682</v>
      </c>
      <c r="D1134" s="30"/>
      <c r="E1134" s="30"/>
      <c r="F1134" s="30"/>
      <c r="G1134" s="30"/>
      <c r="H1134" s="30"/>
    </row>
    <row r="1135" spans="1:8" ht="30.9" customHeight="1" x14ac:dyDescent="0.3">
      <c r="B1135" s="27" t="s">
        <v>293</v>
      </c>
      <c r="C1135" s="44" t="s">
        <v>683</v>
      </c>
      <c r="D1135" s="30"/>
      <c r="E1135" s="30"/>
      <c r="F1135" s="30"/>
      <c r="G1135" s="30"/>
      <c r="H1135" s="30"/>
    </row>
    <row r="1136" spans="1:8" ht="15.9" customHeight="1" x14ac:dyDescent="0.3">
      <c r="B1136" s="43" t="s">
        <v>283</v>
      </c>
      <c r="C1136" s="30"/>
      <c r="D1136" s="30"/>
      <c r="E1136" s="30"/>
      <c r="F1136" s="30"/>
      <c r="G1136" s="30"/>
      <c r="H1136" s="30"/>
    </row>
    <row r="1137" spans="1:8" ht="18" customHeight="1" x14ac:dyDescent="0.3">
      <c r="B1137" s="27" t="s">
        <v>294</v>
      </c>
      <c r="C1137" s="44" t="s">
        <v>347</v>
      </c>
      <c r="D1137" s="30"/>
      <c r="E1137" s="30"/>
      <c r="F1137" s="30"/>
      <c r="G1137" s="30"/>
      <c r="H1137" s="30"/>
    </row>
    <row r="1138" spans="1:8" ht="18" customHeight="1" x14ac:dyDescent="0.3">
      <c r="B1138" s="27" t="s">
        <v>295</v>
      </c>
      <c r="C1138" s="44" t="s">
        <v>348</v>
      </c>
      <c r="D1138" s="30"/>
      <c r="E1138" s="30"/>
      <c r="F1138" s="30"/>
      <c r="G1138" s="30"/>
      <c r="H1138" s="30"/>
    </row>
    <row r="1139" spans="1:8" ht="18" customHeight="1" x14ac:dyDescent="0.3">
      <c r="B1139" s="27" t="s">
        <v>296</v>
      </c>
      <c r="C1139" s="44" t="s">
        <v>310</v>
      </c>
      <c r="D1139" s="30"/>
      <c r="E1139" s="30"/>
      <c r="F1139" s="30"/>
      <c r="G1139" s="30"/>
      <c r="H1139" s="30"/>
    </row>
    <row r="1140" spans="1:8" ht="15.9" customHeight="1" x14ac:dyDescent="0.3">
      <c r="B1140" s="43" t="s">
        <v>284</v>
      </c>
      <c r="C1140" s="30"/>
      <c r="D1140" s="30"/>
      <c r="E1140" s="30"/>
      <c r="F1140" s="30"/>
      <c r="G1140" s="30"/>
      <c r="H1140" s="30"/>
    </row>
    <row r="1141" spans="1:8" ht="18" customHeight="1" x14ac:dyDescent="0.3">
      <c r="B1141" s="27" t="s">
        <v>297</v>
      </c>
      <c r="C1141" s="44" t="s">
        <v>684</v>
      </c>
      <c r="D1141" s="30"/>
      <c r="E1141" s="30"/>
      <c r="F1141" s="30"/>
      <c r="G1141" s="30"/>
      <c r="H1141" s="30"/>
    </row>
    <row r="1142" spans="1:8" ht="18" customHeight="1" x14ac:dyDescent="0.3">
      <c r="B1142" s="27" t="s">
        <v>298</v>
      </c>
      <c r="C1142" s="44" t="s">
        <v>685</v>
      </c>
      <c r="D1142" s="30"/>
      <c r="E1142" s="30"/>
      <c r="F1142" s="30"/>
      <c r="G1142" s="30"/>
      <c r="H1142" s="30"/>
    </row>
    <row r="1143" spans="1:8" ht="42.9" customHeight="1" x14ac:dyDescent="0.3">
      <c r="B1143" s="27" t="s">
        <v>299</v>
      </c>
      <c r="C1143" s="44" t="s">
        <v>686</v>
      </c>
      <c r="D1143" s="30"/>
      <c r="E1143" s="30"/>
      <c r="F1143" s="30"/>
      <c r="G1143" s="30"/>
      <c r="H1143" s="30"/>
    </row>
    <row r="1144" spans="1:8" ht="18" customHeight="1" x14ac:dyDescent="0.3">
      <c r="B1144" s="27" t="s">
        <v>300</v>
      </c>
      <c r="C1144" s="44" t="s">
        <v>687</v>
      </c>
      <c r="D1144" s="30"/>
      <c r="E1144" s="30"/>
      <c r="F1144" s="30"/>
      <c r="G1144" s="30"/>
      <c r="H1144" s="30"/>
    </row>
    <row r="1145" spans="1:8" ht="30.9" customHeight="1" x14ac:dyDescent="0.3">
      <c r="B1145" s="27" t="s">
        <v>301</v>
      </c>
      <c r="C1145" s="44" t="s">
        <v>688</v>
      </c>
      <c r="D1145" s="30"/>
      <c r="E1145" s="30"/>
      <c r="F1145" s="30"/>
      <c r="G1145" s="30"/>
      <c r="H1145" s="30"/>
    </row>
    <row r="1146" spans="1:8" ht="15.9" customHeight="1" x14ac:dyDescent="0.3">
      <c r="B1146" s="43" t="s">
        <v>285</v>
      </c>
      <c r="C1146" s="30"/>
      <c r="D1146" s="30"/>
      <c r="E1146" s="30"/>
      <c r="F1146" s="30"/>
      <c r="G1146" s="30"/>
      <c r="H1146" s="30"/>
    </row>
    <row r="1147" spans="1:8" ht="18" customHeight="1" x14ac:dyDescent="0.3">
      <c r="B1147" s="27" t="s">
        <v>302</v>
      </c>
      <c r="C1147" s="44" t="s">
        <v>339</v>
      </c>
      <c r="D1147" s="30"/>
      <c r="E1147" s="30"/>
      <c r="F1147" s="30"/>
      <c r="G1147" s="30"/>
      <c r="H1147" s="30"/>
    </row>
    <row r="1148" spans="1:8" ht="18" customHeight="1" x14ac:dyDescent="0.3">
      <c r="B1148" s="27" t="s">
        <v>303</v>
      </c>
      <c r="C1148" s="44" t="s">
        <v>689</v>
      </c>
      <c r="D1148" s="30"/>
      <c r="E1148" s="30"/>
      <c r="F1148" s="30"/>
      <c r="G1148" s="30"/>
      <c r="H1148" s="30"/>
    </row>
    <row r="1149" spans="1:8" ht="18" customHeight="1" x14ac:dyDescent="0.3">
      <c r="B1149" s="27" t="s">
        <v>304</v>
      </c>
      <c r="C1149" s="44" t="s">
        <v>1095</v>
      </c>
      <c r="D1149" s="30"/>
      <c r="E1149" s="30"/>
      <c r="F1149" s="30"/>
      <c r="G1149" s="30"/>
      <c r="H1149" s="30"/>
    </row>
    <row r="1152" spans="1:8" ht="21.9" customHeight="1" x14ac:dyDescent="0.3">
      <c r="A1152" s="45" t="s">
        <v>1135</v>
      </c>
      <c r="B1152" s="30"/>
      <c r="C1152" s="30"/>
      <c r="D1152" s="30"/>
      <c r="E1152" s="30"/>
      <c r="F1152" s="30"/>
      <c r="G1152" s="30"/>
      <c r="H1152" s="30"/>
    </row>
    <row r="1154" spans="2:8" ht="15.9" customHeight="1" x14ac:dyDescent="0.3">
      <c r="B1154" s="43" t="s">
        <v>3</v>
      </c>
      <c r="C1154" s="30"/>
      <c r="D1154" s="30"/>
      <c r="E1154" s="30"/>
      <c r="F1154" s="30"/>
      <c r="G1154" s="30"/>
      <c r="H1154" s="30"/>
    </row>
    <row r="1155" spans="2:8" ht="18" customHeight="1" x14ac:dyDescent="0.3">
      <c r="B1155" s="27" t="s">
        <v>286</v>
      </c>
      <c r="C1155" s="44" t="s">
        <v>689</v>
      </c>
      <c r="D1155" s="30"/>
      <c r="E1155" s="30"/>
      <c r="F1155" s="30"/>
      <c r="G1155" s="30"/>
      <c r="H1155" s="30"/>
    </row>
    <row r="1156" spans="2:8" ht="18" customHeight="1" x14ac:dyDescent="0.3">
      <c r="B1156" s="27" t="s">
        <v>287</v>
      </c>
      <c r="C1156" s="44" t="s">
        <v>690</v>
      </c>
      <c r="D1156" s="30"/>
      <c r="E1156" s="30"/>
      <c r="F1156" s="30"/>
      <c r="G1156" s="30"/>
      <c r="H1156" s="30"/>
    </row>
    <row r="1157" spans="2:8" ht="18" customHeight="1" x14ac:dyDescent="0.3">
      <c r="B1157" s="27" t="s">
        <v>288</v>
      </c>
      <c r="C1157" s="44" t="s">
        <v>169</v>
      </c>
      <c r="D1157" s="30"/>
      <c r="E1157" s="30"/>
      <c r="F1157" s="30"/>
      <c r="G1157" s="30"/>
      <c r="H1157" s="30"/>
    </row>
    <row r="1158" spans="2:8" ht="18" customHeight="1" x14ac:dyDescent="0.3">
      <c r="B1158" s="27" t="s">
        <v>289</v>
      </c>
      <c r="C1158" s="44" t="s">
        <v>1093</v>
      </c>
      <c r="D1158" s="30"/>
      <c r="E1158" s="30"/>
      <c r="F1158" s="30"/>
      <c r="G1158" s="30"/>
      <c r="H1158" s="30"/>
    </row>
    <row r="1159" spans="2:8" ht="18" customHeight="1" x14ac:dyDescent="0.3">
      <c r="B1159" s="27" t="s">
        <v>290</v>
      </c>
      <c r="C1159" s="44" t="s">
        <v>166</v>
      </c>
      <c r="D1159" s="30"/>
      <c r="E1159" s="30"/>
      <c r="F1159" s="30"/>
      <c r="G1159" s="30"/>
      <c r="H1159" s="30"/>
    </row>
    <row r="1160" spans="2:8" ht="15.9" customHeight="1" x14ac:dyDescent="0.3">
      <c r="B1160" s="43" t="s">
        <v>282</v>
      </c>
      <c r="C1160" s="30"/>
      <c r="D1160" s="30"/>
      <c r="E1160" s="30"/>
      <c r="F1160" s="30"/>
      <c r="G1160" s="30"/>
      <c r="H1160" s="30"/>
    </row>
    <row r="1161" spans="2:8" ht="30.9" customHeight="1" x14ac:dyDescent="0.3">
      <c r="B1161" s="27" t="s">
        <v>291</v>
      </c>
      <c r="C1161" s="44" t="s">
        <v>691</v>
      </c>
      <c r="D1161" s="30"/>
      <c r="E1161" s="30"/>
      <c r="F1161" s="30"/>
      <c r="G1161" s="30"/>
      <c r="H1161" s="30"/>
    </row>
    <row r="1162" spans="2:8" ht="18" customHeight="1" x14ac:dyDescent="0.3">
      <c r="B1162" s="27" t="s">
        <v>292</v>
      </c>
      <c r="C1162" s="44" t="s">
        <v>682</v>
      </c>
      <c r="D1162" s="30"/>
      <c r="E1162" s="30"/>
      <c r="F1162" s="30"/>
      <c r="G1162" s="30"/>
      <c r="H1162" s="30"/>
    </row>
    <row r="1163" spans="2:8" ht="30.9" customHeight="1" x14ac:dyDescent="0.3">
      <c r="B1163" s="27" t="s">
        <v>293</v>
      </c>
      <c r="C1163" s="44" t="s">
        <v>692</v>
      </c>
      <c r="D1163" s="30"/>
      <c r="E1163" s="30"/>
      <c r="F1163" s="30"/>
      <c r="G1163" s="30"/>
      <c r="H1163" s="30"/>
    </row>
    <row r="1164" spans="2:8" ht="15.9" customHeight="1" x14ac:dyDescent="0.3">
      <c r="B1164" s="43" t="s">
        <v>283</v>
      </c>
      <c r="C1164" s="30"/>
      <c r="D1164" s="30"/>
      <c r="E1164" s="30"/>
      <c r="F1164" s="30"/>
      <c r="G1164" s="30"/>
      <c r="H1164" s="30"/>
    </row>
    <row r="1165" spans="2:8" ht="18" customHeight="1" x14ac:dyDescent="0.3">
      <c r="B1165" s="27" t="s">
        <v>294</v>
      </c>
      <c r="C1165" s="44" t="s">
        <v>347</v>
      </c>
      <c r="D1165" s="30"/>
      <c r="E1165" s="30"/>
      <c r="F1165" s="30"/>
      <c r="G1165" s="30"/>
      <c r="H1165" s="30"/>
    </row>
    <row r="1166" spans="2:8" ht="18" customHeight="1" x14ac:dyDescent="0.3">
      <c r="B1166" s="27" t="s">
        <v>295</v>
      </c>
      <c r="C1166" s="44" t="s">
        <v>348</v>
      </c>
      <c r="D1166" s="30"/>
      <c r="E1166" s="30"/>
      <c r="F1166" s="30"/>
      <c r="G1166" s="30"/>
      <c r="H1166" s="30"/>
    </row>
    <row r="1167" spans="2:8" ht="18" customHeight="1" x14ac:dyDescent="0.3">
      <c r="B1167" s="27" t="s">
        <v>296</v>
      </c>
      <c r="C1167" s="44" t="s">
        <v>310</v>
      </c>
      <c r="D1167" s="30"/>
      <c r="E1167" s="30"/>
      <c r="F1167" s="30"/>
      <c r="G1167" s="30"/>
      <c r="H1167" s="30"/>
    </row>
    <row r="1168" spans="2:8" ht="15.9" customHeight="1" x14ac:dyDescent="0.3">
      <c r="B1168" s="43" t="s">
        <v>284</v>
      </c>
      <c r="C1168" s="30"/>
      <c r="D1168" s="30"/>
      <c r="E1168" s="30"/>
      <c r="F1168" s="30"/>
      <c r="G1168" s="30"/>
      <c r="H1168" s="30"/>
    </row>
    <row r="1169" spans="1:8" ht="18" customHeight="1" x14ac:dyDescent="0.3">
      <c r="B1169" s="27" t="s">
        <v>297</v>
      </c>
      <c r="C1169" s="44" t="s">
        <v>693</v>
      </c>
      <c r="D1169" s="30"/>
      <c r="E1169" s="30"/>
      <c r="F1169" s="30"/>
      <c r="G1169" s="30"/>
      <c r="H1169" s="30"/>
    </row>
    <row r="1170" spans="1:8" ht="18" customHeight="1" x14ac:dyDescent="0.3">
      <c r="B1170" s="27" t="s">
        <v>298</v>
      </c>
      <c r="C1170" s="44" t="s">
        <v>694</v>
      </c>
      <c r="D1170" s="30"/>
      <c r="E1170" s="30"/>
      <c r="F1170" s="30"/>
      <c r="G1170" s="30"/>
      <c r="H1170" s="30"/>
    </row>
    <row r="1171" spans="1:8" ht="42.9" customHeight="1" x14ac:dyDescent="0.3">
      <c r="B1171" s="27" t="s">
        <v>299</v>
      </c>
      <c r="C1171" s="44" t="s">
        <v>695</v>
      </c>
      <c r="D1171" s="30"/>
      <c r="E1171" s="30"/>
      <c r="F1171" s="30"/>
      <c r="G1171" s="30"/>
      <c r="H1171" s="30"/>
    </row>
    <row r="1172" spans="1:8" ht="18" customHeight="1" x14ac:dyDescent="0.3">
      <c r="B1172" s="27" t="s">
        <v>300</v>
      </c>
      <c r="C1172" s="44" t="s">
        <v>696</v>
      </c>
      <c r="D1172" s="30"/>
      <c r="E1172" s="30"/>
      <c r="F1172" s="30"/>
      <c r="G1172" s="30"/>
      <c r="H1172" s="30"/>
    </row>
    <row r="1173" spans="1:8" ht="30.9" customHeight="1" x14ac:dyDescent="0.3">
      <c r="B1173" s="27" t="s">
        <v>301</v>
      </c>
      <c r="C1173" s="44" t="s">
        <v>697</v>
      </c>
      <c r="D1173" s="30"/>
      <c r="E1173" s="30"/>
      <c r="F1173" s="30"/>
      <c r="G1173" s="30"/>
      <c r="H1173" s="30"/>
    </row>
    <row r="1174" spans="1:8" ht="15.9" customHeight="1" x14ac:dyDescent="0.3">
      <c r="B1174" s="43" t="s">
        <v>285</v>
      </c>
      <c r="C1174" s="30"/>
      <c r="D1174" s="30"/>
      <c r="E1174" s="30"/>
      <c r="F1174" s="30"/>
      <c r="G1174" s="30"/>
      <c r="H1174" s="30"/>
    </row>
    <row r="1175" spans="1:8" ht="18" customHeight="1" x14ac:dyDescent="0.3">
      <c r="B1175" s="27" t="s">
        <v>302</v>
      </c>
      <c r="C1175" s="44" t="s">
        <v>698</v>
      </c>
      <c r="D1175" s="30"/>
      <c r="E1175" s="30"/>
      <c r="F1175" s="30"/>
      <c r="G1175" s="30"/>
      <c r="H1175" s="30"/>
    </row>
    <row r="1176" spans="1:8" ht="18" customHeight="1" x14ac:dyDescent="0.3">
      <c r="B1176" s="27" t="s">
        <v>303</v>
      </c>
      <c r="C1176" s="44" t="s">
        <v>354</v>
      </c>
      <c r="D1176" s="30"/>
      <c r="E1176" s="30"/>
      <c r="F1176" s="30"/>
      <c r="G1176" s="30"/>
      <c r="H1176" s="30"/>
    </row>
    <row r="1177" spans="1:8" ht="18" customHeight="1" x14ac:dyDescent="0.3">
      <c r="B1177" s="27" t="s">
        <v>304</v>
      </c>
      <c r="C1177" s="44" t="s">
        <v>1095</v>
      </c>
      <c r="D1177" s="30"/>
      <c r="E1177" s="30"/>
      <c r="F1177" s="30"/>
      <c r="G1177" s="30"/>
      <c r="H1177" s="30"/>
    </row>
    <row r="1180" spans="1:8" ht="21.9" customHeight="1" x14ac:dyDescent="0.3">
      <c r="A1180" s="45" t="s">
        <v>1136</v>
      </c>
      <c r="B1180" s="30"/>
      <c r="C1180" s="30"/>
      <c r="D1180" s="30"/>
      <c r="E1180" s="30"/>
      <c r="F1180" s="30"/>
      <c r="G1180" s="30"/>
      <c r="H1180" s="30"/>
    </row>
    <row r="1182" spans="1:8" ht="15.9" customHeight="1" x14ac:dyDescent="0.3">
      <c r="B1182" s="43" t="s">
        <v>3</v>
      </c>
      <c r="C1182" s="30"/>
      <c r="D1182" s="30"/>
      <c r="E1182" s="30"/>
      <c r="F1182" s="30"/>
      <c r="G1182" s="30"/>
      <c r="H1182" s="30"/>
    </row>
    <row r="1183" spans="1:8" ht="18" customHeight="1" x14ac:dyDescent="0.3">
      <c r="B1183" s="27" t="s">
        <v>286</v>
      </c>
      <c r="C1183" s="44" t="s">
        <v>699</v>
      </c>
      <c r="D1183" s="30"/>
      <c r="E1183" s="30"/>
      <c r="F1183" s="30"/>
      <c r="G1183" s="30"/>
      <c r="H1183" s="30"/>
    </row>
    <row r="1184" spans="1:8" ht="18" customHeight="1" x14ac:dyDescent="0.3">
      <c r="B1184" s="27" t="s">
        <v>287</v>
      </c>
      <c r="C1184" s="44" t="s">
        <v>700</v>
      </c>
      <c r="D1184" s="30"/>
      <c r="E1184" s="30"/>
      <c r="F1184" s="30"/>
      <c r="G1184" s="30"/>
      <c r="H1184" s="30"/>
    </row>
    <row r="1185" spans="2:8" ht="18" customHeight="1" x14ac:dyDescent="0.3">
      <c r="B1185" s="27" t="s">
        <v>288</v>
      </c>
      <c r="C1185" s="44" t="s">
        <v>169</v>
      </c>
      <c r="D1185" s="30"/>
      <c r="E1185" s="30"/>
      <c r="F1185" s="30"/>
      <c r="G1185" s="30"/>
      <c r="H1185" s="30"/>
    </row>
    <row r="1186" spans="2:8" ht="18" customHeight="1" x14ac:dyDescent="0.3">
      <c r="B1186" s="27" t="s">
        <v>289</v>
      </c>
      <c r="C1186" s="44" t="s">
        <v>1093</v>
      </c>
      <c r="D1186" s="30"/>
      <c r="E1186" s="30"/>
      <c r="F1186" s="30"/>
      <c r="G1186" s="30"/>
      <c r="H1186" s="30"/>
    </row>
    <row r="1187" spans="2:8" ht="18" customHeight="1" x14ac:dyDescent="0.3">
      <c r="B1187" s="27" t="s">
        <v>290</v>
      </c>
      <c r="C1187" s="44" t="s">
        <v>166</v>
      </c>
      <c r="D1187" s="30"/>
      <c r="E1187" s="30"/>
      <c r="F1187" s="30"/>
      <c r="G1187" s="30"/>
      <c r="H1187" s="30"/>
    </row>
    <row r="1188" spans="2:8" ht="15.9" customHeight="1" x14ac:dyDescent="0.3">
      <c r="B1188" s="43" t="s">
        <v>282</v>
      </c>
      <c r="C1188" s="30"/>
      <c r="D1188" s="30"/>
      <c r="E1188" s="30"/>
      <c r="F1188" s="30"/>
      <c r="G1188" s="30"/>
      <c r="H1188" s="30"/>
    </row>
    <row r="1189" spans="2:8" ht="18" customHeight="1" x14ac:dyDescent="0.3">
      <c r="B1189" s="27" t="s">
        <v>291</v>
      </c>
      <c r="C1189" s="44" t="s">
        <v>701</v>
      </c>
      <c r="D1189" s="30"/>
      <c r="E1189" s="30"/>
      <c r="F1189" s="30"/>
      <c r="G1189" s="30"/>
      <c r="H1189" s="30"/>
    </row>
    <row r="1190" spans="2:8" ht="18" customHeight="1" x14ac:dyDescent="0.3">
      <c r="B1190" s="27" t="s">
        <v>292</v>
      </c>
      <c r="C1190" s="44" t="s">
        <v>682</v>
      </c>
      <c r="D1190" s="30"/>
      <c r="E1190" s="30"/>
      <c r="F1190" s="30"/>
      <c r="G1190" s="30"/>
      <c r="H1190" s="30"/>
    </row>
    <row r="1191" spans="2:8" ht="18" customHeight="1" x14ac:dyDescent="0.3">
      <c r="B1191" s="27" t="s">
        <v>293</v>
      </c>
      <c r="C1191" s="44" t="s">
        <v>702</v>
      </c>
      <c r="D1191" s="30"/>
      <c r="E1191" s="30"/>
      <c r="F1191" s="30"/>
      <c r="G1191" s="30"/>
      <c r="H1191" s="30"/>
    </row>
    <row r="1192" spans="2:8" ht="15.9" customHeight="1" x14ac:dyDescent="0.3">
      <c r="B1192" s="43" t="s">
        <v>283</v>
      </c>
      <c r="C1192" s="30"/>
      <c r="D1192" s="30"/>
      <c r="E1192" s="30"/>
      <c r="F1192" s="30"/>
      <c r="G1192" s="30"/>
      <c r="H1192" s="30"/>
    </row>
    <row r="1193" spans="2:8" ht="18" customHeight="1" x14ac:dyDescent="0.3">
      <c r="B1193" s="27" t="s">
        <v>294</v>
      </c>
      <c r="C1193" s="44" t="s">
        <v>308</v>
      </c>
      <c r="D1193" s="30"/>
      <c r="E1193" s="30"/>
      <c r="F1193" s="30"/>
      <c r="G1193" s="30"/>
      <c r="H1193" s="30"/>
    </row>
    <row r="1194" spans="2:8" ht="18" customHeight="1" x14ac:dyDescent="0.3">
      <c r="B1194" s="27" t="s">
        <v>295</v>
      </c>
      <c r="C1194" s="44" t="s">
        <v>309</v>
      </c>
      <c r="D1194" s="30"/>
      <c r="E1194" s="30"/>
      <c r="F1194" s="30"/>
      <c r="G1194" s="30"/>
      <c r="H1194" s="30"/>
    </row>
    <row r="1195" spans="2:8" ht="18" customHeight="1" x14ac:dyDescent="0.3">
      <c r="B1195" s="27" t="s">
        <v>296</v>
      </c>
      <c r="C1195" s="44" t="s">
        <v>310</v>
      </c>
      <c r="D1195" s="30"/>
      <c r="E1195" s="30"/>
      <c r="F1195" s="30"/>
      <c r="G1195" s="30"/>
      <c r="H1195" s="30"/>
    </row>
    <row r="1196" spans="2:8" ht="15.9" customHeight="1" x14ac:dyDescent="0.3">
      <c r="B1196" s="43" t="s">
        <v>284</v>
      </c>
      <c r="C1196" s="30"/>
      <c r="D1196" s="30"/>
      <c r="E1196" s="30"/>
      <c r="F1196" s="30"/>
      <c r="G1196" s="30"/>
      <c r="H1196" s="30"/>
    </row>
    <row r="1197" spans="2:8" ht="18" customHeight="1" x14ac:dyDescent="0.3">
      <c r="B1197" s="27" t="s">
        <v>297</v>
      </c>
      <c r="C1197" s="44" t="s">
        <v>684</v>
      </c>
      <c r="D1197" s="30"/>
      <c r="E1197" s="30"/>
      <c r="F1197" s="30"/>
      <c r="G1197" s="30"/>
      <c r="H1197" s="30"/>
    </row>
    <row r="1198" spans="2:8" ht="18" customHeight="1" x14ac:dyDescent="0.3">
      <c r="B1198" s="27" t="s">
        <v>298</v>
      </c>
      <c r="C1198" s="44" t="s">
        <v>703</v>
      </c>
      <c r="D1198" s="30"/>
      <c r="E1198" s="30"/>
      <c r="F1198" s="30"/>
      <c r="G1198" s="30"/>
      <c r="H1198" s="30"/>
    </row>
    <row r="1199" spans="2:8" ht="42.9" customHeight="1" x14ac:dyDescent="0.3">
      <c r="B1199" s="27" t="s">
        <v>299</v>
      </c>
      <c r="C1199" s="44" t="s">
        <v>704</v>
      </c>
      <c r="D1199" s="30"/>
      <c r="E1199" s="30"/>
      <c r="F1199" s="30"/>
      <c r="G1199" s="30"/>
      <c r="H1199" s="30"/>
    </row>
    <row r="1200" spans="2:8" ht="18" customHeight="1" x14ac:dyDescent="0.3">
      <c r="B1200" s="27" t="s">
        <v>300</v>
      </c>
      <c r="C1200" s="44" t="s">
        <v>705</v>
      </c>
      <c r="D1200" s="30"/>
      <c r="E1200" s="30"/>
      <c r="F1200" s="30"/>
      <c r="G1200" s="30"/>
      <c r="H1200" s="30"/>
    </row>
    <row r="1201" spans="1:8" ht="30.9" customHeight="1" x14ac:dyDescent="0.3">
      <c r="B1201" s="27" t="s">
        <v>301</v>
      </c>
      <c r="C1201" s="44" t="s">
        <v>706</v>
      </c>
      <c r="D1201" s="30"/>
      <c r="E1201" s="30"/>
      <c r="F1201" s="30"/>
      <c r="G1201" s="30"/>
      <c r="H1201" s="30"/>
    </row>
    <row r="1202" spans="1:8" ht="15.9" customHeight="1" x14ac:dyDescent="0.3">
      <c r="B1202" s="43" t="s">
        <v>285</v>
      </c>
      <c r="C1202" s="30"/>
      <c r="D1202" s="30"/>
      <c r="E1202" s="30"/>
      <c r="F1202" s="30"/>
      <c r="G1202" s="30"/>
      <c r="H1202" s="30"/>
    </row>
    <row r="1203" spans="1:8" ht="18" customHeight="1" x14ac:dyDescent="0.3">
      <c r="B1203" s="27" t="s">
        <v>302</v>
      </c>
      <c r="C1203" s="44" t="s">
        <v>339</v>
      </c>
      <c r="D1203" s="30"/>
      <c r="E1203" s="30"/>
      <c r="F1203" s="30"/>
      <c r="G1203" s="30"/>
      <c r="H1203" s="30"/>
    </row>
    <row r="1204" spans="1:8" ht="18" customHeight="1" x14ac:dyDescent="0.3">
      <c r="B1204" s="27" t="s">
        <v>303</v>
      </c>
      <c r="C1204" s="44" t="s">
        <v>707</v>
      </c>
      <c r="D1204" s="30"/>
      <c r="E1204" s="30"/>
      <c r="F1204" s="30"/>
      <c r="G1204" s="30"/>
      <c r="H1204" s="30"/>
    </row>
    <row r="1205" spans="1:8" ht="44.1" customHeight="1" x14ac:dyDescent="0.3">
      <c r="B1205" s="27" t="s">
        <v>304</v>
      </c>
      <c r="C1205" s="44" t="s">
        <v>708</v>
      </c>
      <c r="D1205" s="30"/>
      <c r="E1205" s="30"/>
      <c r="F1205" s="30"/>
      <c r="G1205" s="30"/>
      <c r="H1205" s="30"/>
    </row>
    <row r="1208" spans="1:8" ht="21.9" customHeight="1" x14ac:dyDescent="0.3">
      <c r="A1208" s="45" t="s">
        <v>1137</v>
      </c>
      <c r="B1208" s="30"/>
      <c r="C1208" s="30"/>
      <c r="D1208" s="30"/>
      <c r="E1208" s="30"/>
      <c r="F1208" s="30"/>
      <c r="G1208" s="30"/>
      <c r="H1208" s="30"/>
    </row>
    <row r="1210" spans="1:8" ht="15.9" customHeight="1" x14ac:dyDescent="0.3">
      <c r="B1210" s="43" t="s">
        <v>3</v>
      </c>
      <c r="C1210" s="30"/>
      <c r="D1210" s="30"/>
      <c r="E1210" s="30"/>
      <c r="F1210" s="30"/>
      <c r="G1210" s="30"/>
      <c r="H1210" s="30"/>
    </row>
    <row r="1211" spans="1:8" ht="18" customHeight="1" x14ac:dyDescent="0.3">
      <c r="B1211" s="27" t="s">
        <v>286</v>
      </c>
      <c r="C1211" s="44" t="s">
        <v>707</v>
      </c>
      <c r="D1211" s="30"/>
      <c r="E1211" s="30"/>
      <c r="F1211" s="30"/>
      <c r="G1211" s="30"/>
      <c r="H1211" s="30"/>
    </row>
    <row r="1212" spans="1:8" ht="18" customHeight="1" x14ac:dyDescent="0.3">
      <c r="B1212" s="27" t="s">
        <v>287</v>
      </c>
      <c r="C1212" s="44" t="s">
        <v>709</v>
      </c>
      <c r="D1212" s="30"/>
      <c r="E1212" s="30"/>
      <c r="F1212" s="30"/>
      <c r="G1212" s="30"/>
      <c r="H1212" s="30"/>
    </row>
    <row r="1213" spans="1:8" ht="18" customHeight="1" x14ac:dyDescent="0.3">
      <c r="B1213" s="27" t="s">
        <v>288</v>
      </c>
      <c r="C1213" s="44" t="s">
        <v>169</v>
      </c>
      <c r="D1213" s="30"/>
      <c r="E1213" s="30"/>
      <c r="F1213" s="30"/>
      <c r="G1213" s="30"/>
      <c r="H1213" s="30"/>
    </row>
    <row r="1214" spans="1:8" ht="18" customHeight="1" x14ac:dyDescent="0.3">
      <c r="B1214" s="27" t="s">
        <v>289</v>
      </c>
      <c r="C1214" s="44" t="s">
        <v>1093</v>
      </c>
      <c r="D1214" s="30"/>
      <c r="E1214" s="30"/>
      <c r="F1214" s="30"/>
      <c r="G1214" s="30"/>
      <c r="H1214" s="30"/>
    </row>
    <row r="1215" spans="1:8" ht="18" customHeight="1" x14ac:dyDescent="0.3">
      <c r="B1215" s="27" t="s">
        <v>290</v>
      </c>
      <c r="C1215" s="44" t="s">
        <v>166</v>
      </c>
      <c r="D1215" s="30"/>
      <c r="E1215" s="30"/>
      <c r="F1215" s="30"/>
      <c r="G1215" s="30"/>
      <c r="H1215" s="30"/>
    </row>
    <row r="1216" spans="1:8" ht="15.9" customHeight="1" x14ac:dyDescent="0.3">
      <c r="B1216" s="43" t="s">
        <v>282</v>
      </c>
      <c r="C1216" s="30"/>
      <c r="D1216" s="30"/>
      <c r="E1216" s="30"/>
      <c r="F1216" s="30"/>
      <c r="G1216" s="30"/>
      <c r="H1216" s="30"/>
    </row>
    <row r="1217" spans="2:8" ht="30.9" customHeight="1" x14ac:dyDescent="0.3">
      <c r="B1217" s="27" t="s">
        <v>291</v>
      </c>
      <c r="C1217" s="44" t="s">
        <v>710</v>
      </c>
      <c r="D1217" s="30"/>
      <c r="E1217" s="30"/>
      <c r="F1217" s="30"/>
      <c r="G1217" s="30"/>
      <c r="H1217" s="30"/>
    </row>
    <row r="1218" spans="2:8" ht="18" customHeight="1" x14ac:dyDescent="0.3">
      <c r="B1218" s="27" t="s">
        <v>292</v>
      </c>
      <c r="C1218" s="44" t="s">
        <v>682</v>
      </c>
      <c r="D1218" s="30"/>
      <c r="E1218" s="30"/>
      <c r="F1218" s="30"/>
      <c r="G1218" s="30"/>
      <c r="H1218" s="30"/>
    </row>
    <row r="1219" spans="2:8" ht="30.9" customHeight="1" x14ac:dyDescent="0.3">
      <c r="B1219" s="27" t="s">
        <v>293</v>
      </c>
      <c r="C1219" s="44" t="s">
        <v>711</v>
      </c>
      <c r="D1219" s="30"/>
      <c r="E1219" s="30"/>
      <c r="F1219" s="30"/>
      <c r="G1219" s="30"/>
      <c r="H1219" s="30"/>
    </row>
    <row r="1220" spans="2:8" ht="15.9" customHeight="1" x14ac:dyDescent="0.3">
      <c r="B1220" s="43" t="s">
        <v>283</v>
      </c>
      <c r="C1220" s="30"/>
      <c r="D1220" s="30"/>
      <c r="E1220" s="30"/>
      <c r="F1220" s="30"/>
      <c r="G1220" s="30"/>
      <c r="H1220" s="30"/>
    </row>
    <row r="1221" spans="2:8" ht="18" customHeight="1" x14ac:dyDescent="0.3">
      <c r="B1221" s="27" t="s">
        <v>294</v>
      </c>
      <c r="C1221" s="44" t="s">
        <v>308</v>
      </c>
      <c r="D1221" s="30"/>
      <c r="E1221" s="30"/>
      <c r="F1221" s="30"/>
      <c r="G1221" s="30"/>
      <c r="H1221" s="30"/>
    </row>
    <row r="1222" spans="2:8" ht="18" customHeight="1" x14ac:dyDescent="0.3">
      <c r="B1222" s="27" t="s">
        <v>295</v>
      </c>
      <c r="C1222" s="44" t="s">
        <v>309</v>
      </c>
      <c r="D1222" s="30"/>
      <c r="E1222" s="30"/>
      <c r="F1222" s="30"/>
      <c r="G1222" s="30"/>
      <c r="H1222" s="30"/>
    </row>
    <row r="1223" spans="2:8" ht="18" customHeight="1" x14ac:dyDescent="0.3">
      <c r="B1223" s="27" t="s">
        <v>296</v>
      </c>
      <c r="C1223" s="44" t="s">
        <v>310</v>
      </c>
      <c r="D1223" s="30"/>
      <c r="E1223" s="30"/>
      <c r="F1223" s="30"/>
      <c r="G1223" s="30"/>
      <c r="H1223" s="30"/>
    </row>
    <row r="1224" spans="2:8" ht="15.9" customHeight="1" x14ac:dyDescent="0.3">
      <c r="B1224" s="43" t="s">
        <v>284</v>
      </c>
      <c r="C1224" s="30"/>
      <c r="D1224" s="30"/>
      <c r="E1224" s="30"/>
      <c r="F1224" s="30"/>
      <c r="G1224" s="30"/>
      <c r="H1224" s="30"/>
    </row>
    <row r="1225" spans="2:8" ht="18" customHeight="1" x14ac:dyDescent="0.3">
      <c r="B1225" s="27" t="s">
        <v>297</v>
      </c>
      <c r="C1225" s="44" t="s">
        <v>712</v>
      </c>
      <c r="D1225" s="30"/>
      <c r="E1225" s="30"/>
      <c r="F1225" s="30"/>
      <c r="G1225" s="30"/>
      <c r="H1225" s="30"/>
    </row>
    <row r="1226" spans="2:8" ht="18" customHeight="1" x14ac:dyDescent="0.3">
      <c r="B1226" s="27" t="s">
        <v>298</v>
      </c>
      <c r="C1226" s="44" t="s">
        <v>713</v>
      </c>
      <c r="D1226" s="30"/>
      <c r="E1226" s="30"/>
      <c r="F1226" s="30"/>
      <c r="G1226" s="30"/>
      <c r="H1226" s="30"/>
    </row>
    <row r="1227" spans="2:8" ht="42.9" customHeight="1" x14ac:dyDescent="0.3">
      <c r="B1227" s="27" t="s">
        <v>299</v>
      </c>
      <c r="C1227" s="44" t="s">
        <v>714</v>
      </c>
      <c r="D1227" s="30"/>
      <c r="E1227" s="30"/>
      <c r="F1227" s="30"/>
      <c r="G1227" s="30"/>
      <c r="H1227" s="30"/>
    </row>
    <row r="1228" spans="2:8" ht="18" customHeight="1" x14ac:dyDescent="0.3">
      <c r="B1228" s="27" t="s">
        <v>300</v>
      </c>
      <c r="C1228" s="44" t="s">
        <v>715</v>
      </c>
      <c r="D1228" s="30"/>
      <c r="E1228" s="30"/>
      <c r="F1228" s="30"/>
      <c r="G1228" s="30"/>
      <c r="H1228" s="30"/>
    </row>
    <row r="1229" spans="2:8" ht="30.9" customHeight="1" x14ac:dyDescent="0.3">
      <c r="B1229" s="27" t="s">
        <v>301</v>
      </c>
      <c r="C1229" s="44" t="s">
        <v>716</v>
      </c>
      <c r="D1229" s="30"/>
      <c r="E1229" s="30"/>
      <c r="F1229" s="30"/>
      <c r="G1229" s="30"/>
      <c r="H1229" s="30"/>
    </row>
    <row r="1230" spans="2:8" ht="15.9" customHeight="1" x14ac:dyDescent="0.3">
      <c r="B1230" s="43" t="s">
        <v>285</v>
      </c>
      <c r="C1230" s="30"/>
      <c r="D1230" s="30"/>
      <c r="E1230" s="30"/>
      <c r="F1230" s="30"/>
      <c r="G1230" s="30"/>
      <c r="H1230" s="30"/>
    </row>
    <row r="1231" spans="2:8" ht="18" customHeight="1" x14ac:dyDescent="0.3">
      <c r="B1231" s="27" t="s">
        <v>302</v>
      </c>
      <c r="C1231" s="44" t="s">
        <v>699</v>
      </c>
      <c r="D1231" s="30"/>
      <c r="E1231" s="30"/>
      <c r="F1231" s="30"/>
      <c r="G1231" s="30"/>
      <c r="H1231" s="30"/>
    </row>
    <row r="1232" spans="2:8" ht="18" customHeight="1" x14ac:dyDescent="0.3">
      <c r="B1232" s="27" t="s">
        <v>303</v>
      </c>
      <c r="C1232" s="44" t="s">
        <v>354</v>
      </c>
      <c r="D1232" s="30"/>
      <c r="E1232" s="30"/>
      <c r="F1232" s="30"/>
      <c r="G1232" s="30"/>
      <c r="H1232" s="30"/>
    </row>
    <row r="1233" spans="1:8" ht="18" customHeight="1" x14ac:dyDescent="0.3">
      <c r="B1233" s="27" t="s">
        <v>304</v>
      </c>
      <c r="C1233" s="44" t="s">
        <v>1095</v>
      </c>
      <c r="D1233" s="30"/>
      <c r="E1233" s="30"/>
      <c r="F1233" s="30"/>
      <c r="G1233" s="30"/>
      <c r="H1233" s="30"/>
    </row>
    <row r="1236" spans="1:8" ht="21.9" customHeight="1" x14ac:dyDescent="0.3">
      <c r="A1236" s="45" t="s">
        <v>1138</v>
      </c>
      <c r="B1236" s="30"/>
      <c r="C1236" s="30"/>
      <c r="D1236" s="30"/>
      <c r="E1236" s="30"/>
      <c r="F1236" s="30"/>
      <c r="G1236" s="30"/>
      <c r="H1236" s="30"/>
    </row>
    <row r="1238" spans="1:8" ht="15.9" customHeight="1" x14ac:dyDescent="0.3">
      <c r="B1238" s="43" t="s">
        <v>3</v>
      </c>
      <c r="C1238" s="30"/>
      <c r="D1238" s="30"/>
      <c r="E1238" s="30"/>
      <c r="F1238" s="30"/>
      <c r="G1238" s="30"/>
      <c r="H1238" s="30"/>
    </row>
    <row r="1239" spans="1:8" ht="18" customHeight="1" x14ac:dyDescent="0.3">
      <c r="B1239" s="27" t="s">
        <v>286</v>
      </c>
      <c r="C1239" s="44" t="s">
        <v>717</v>
      </c>
      <c r="D1239" s="30"/>
      <c r="E1239" s="30"/>
      <c r="F1239" s="30"/>
      <c r="G1239" s="30"/>
      <c r="H1239" s="30"/>
    </row>
    <row r="1240" spans="1:8" ht="18" customHeight="1" x14ac:dyDescent="0.3">
      <c r="B1240" s="27" t="s">
        <v>287</v>
      </c>
      <c r="C1240" s="44" t="s">
        <v>718</v>
      </c>
      <c r="D1240" s="30"/>
      <c r="E1240" s="30"/>
      <c r="F1240" s="30"/>
      <c r="G1240" s="30"/>
      <c r="H1240" s="30"/>
    </row>
    <row r="1241" spans="1:8" ht="18" customHeight="1" x14ac:dyDescent="0.3">
      <c r="B1241" s="27" t="s">
        <v>288</v>
      </c>
      <c r="C1241" s="44" t="s">
        <v>169</v>
      </c>
      <c r="D1241" s="30"/>
      <c r="E1241" s="30"/>
      <c r="F1241" s="30"/>
      <c r="G1241" s="30"/>
      <c r="H1241" s="30"/>
    </row>
    <row r="1242" spans="1:8" ht="18" customHeight="1" x14ac:dyDescent="0.3">
      <c r="B1242" s="27" t="s">
        <v>289</v>
      </c>
      <c r="C1242" s="44" t="s">
        <v>1093</v>
      </c>
      <c r="D1242" s="30"/>
      <c r="E1242" s="30"/>
      <c r="F1242" s="30"/>
      <c r="G1242" s="30"/>
      <c r="H1242" s="30"/>
    </row>
    <row r="1243" spans="1:8" ht="18" customHeight="1" x14ac:dyDescent="0.3">
      <c r="B1243" s="27" t="s">
        <v>290</v>
      </c>
      <c r="C1243" s="44" t="s">
        <v>166</v>
      </c>
      <c r="D1243" s="30"/>
      <c r="E1243" s="30"/>
      <c r="F1243" s="30"/>
      <c r="G1243" s="30"/>
      <c r="H1243" s="30"/>
    </row>
    <row r="1244" spans="1:8" ht="15.9" customHeight="1" x14ac:dyDescent="0.3">
      <c r="B1244" s="43" t="s">
        <v>282</v>
      </c>
      <c r="C1244" s="30"/>
      <c r="D1244" s="30"/>
      <c r="E1244" s="30"/>
      <c r="F1244" s="30"/>
      <c r="G1244" s="30"/>
      <c r="H1244" s="30"/>
    </row>
    <row r="1245" spans="1:8" ht="18" customHeight="1" x14ac:dyDescent="0.3">
      <c r="B1245" s="27" t="s">
        <v>291</v>
      </c>
      <c r="C1245" s="44" t="s">
        <v>719</v>
      </c>
      <c r="D1245" s="30"/>
      <c r="E1245" s="30"/>
      <c r="F1245" s="30"/>
      <c r="G1245" s="30"/>
      <c r="H1245" s="30"/>
    </row>
    <row r="1246" spans="1:8" ht="18" customHeight="1" x14ac:dyDescent="0.3">
      <c r="B1246" s="27" t="s">
        <v>292</v>
      </c>
      <c r="C1246" s="44" t="s">
        <v>682</v>
      </c>
      <c r="D1246" s="30"/>
      <c r="E1246" s="30"/>
      <c r="F1246" s="30"/>
      <c r="G1246" s="30"/>
      <c r="H1246" s="30"/>
    </row>
    <row r="1247" spans="1:8" ht="30.9" customHeight="1" x14ac:dyDescent="0.3">
      <c r="B1247" s="27" t="s">
        <v>293</v>
      </c>
      <c r="C1247" s="44" t="s">
        <v>720</v>
      </c>
      <c r="D1247" s="30"/>
      <c r="E1247" s="30"/>
      <c r="F1247" s="30"/>
      <c r="G1247" s="30"/>
      <c r="H1247" s="30"/>
    </row>
    <row r="1248" spans="1:8" ht="15.9" customHeight="1" x14ac:dyDescent="0.3">
      <c r="B1248" s="43" t="s">
        <v>283</v>
      </c>
      <c r="C1248" s="30"/>
      <c r="D1248" s="30"/>
      <c r="E1248" s="30"/>
      <c r="F1248" s="30"/>
      <c r="G1248" s="30"/>
      <c r="H1248" s="30"/>
    </row>
    <row r="1249" spans="1:8" ht="18" customHeight="1" x14ac:dyDescent="0.3">
      <c r="B1249" s="27" t="s">
        <v>294</v>
      </c>
      <c r="C1249" s="44" t="s">
        <v>308</v>
      </c>
      <c r="D1249" s="30"/>
      <c r="E1249" s="30"/>
      <c r="F1249" s="30"/>
      <c r="G1249" s="30"/>
      <c r="H1249" s="30"/>
    </row>
    <row r="1250" spans="1:8" ht="18" customHeight="1" x14ac:dyDescent="0.3">
      <c r="B1250" s="27" t="s">
        <v>295</v>
      </c>
      <c r="C1250" s="44" t="s">
        <v>309</v>
      </c>
      <c r="D1250" s="30"/>
      <c r="E1250" s="30"/>
      <c r="F1250" s="30"/>
      <c r="G1250" s="30"/>
      <c r="H1250" s="30"/>
    </row>
    <row r="1251" spans="1:8" ht="18" customHeight="1" x14ac:dyDescent="0.3">
      <c r="B1251" s="27" t="s">
        <v>296</v>
      </c>
      <c r="C1251" s="44" t="s">
        <v>310</v>
      </c>
      <c r="D1251" s="30"/>
      <c r="E1251" s="30"/>
      <c r="F1251" s="30"/>
      <c r="G1251" s="30"/>
      <c r="H1251" s="30"/>
    </row>
    <row r="1252" spans="1:8" ht="15.9" customHeight="1" x14ac:dyDescent="0.3">
      <c r="B1252" s="43" t="s">
        <v>284</v>
      </c>
      <c r="C1252" s="30"/>
      <c r="D1252" s="30"/>
      <c r="E1252" s="30"/>
      <c r="F1252" s="30"/>
      <c r="G1252" s="30"/>
      <c r="H1252" s="30"/>
    </row>
    <row r="1253" spans="1:8" ht="18" customHeight="1" x14ac:dyDescent="0.3">
      <c r="B1253" s="27" t="s">
        <v>297</v>
      </c>
      <c r="C1253" s="44" t="s">
        <v>721</v>
      </c>
      <c r="D1253" s="30"/>
      <c r="E1253" s="30"/>
      <c r="F1253" s="30"/>
      <c r="G1253" s="30"/>
      <c r="H1253" s="30"/>
    </row>
    <row r="1254" spans="1:8" ht="18" customHeight="1" x14ac:dyDescent="0.3">
      <c r="B1254" s="27" t="s">
        <v>298</v>
      </c>
      <c r="C1254" s="44" t="s">
        <v>722</v>
      </c>
      <c r="D1254" s="30"/>
      <c r="E1254" s="30"/>
      <c r="F1254" s="30"/>
      <c r="G1254" s="30"/>
      <c r="H1254" s="30"/>
    </row>
    <row r="1255" spans="1:8" ht="42.9" customHeight="1" x14ac:dyDescent="0.3">
      <c r="B1255" s="27" t="s">
        <v>299</v>
      </c>
      <c r="C1255" s="44" t="s">
        <v>723</v>
      </c>
      <c r="D1255" s="30"/>
      <c r="E1255" s="30"/>
      <c r="F1255" s="30"/>
      <c r="G1255" s="30"/>
      <c r="H1255" s="30"/>
    </row>
    <row r="1256" spans="1:8" ht="44.1" customHeight="1" x14ac:dyDescent="0.3">
      <c r="B1256" s="27" t="s">
        <v>300</v>
      </c>
      <c r="C1256" s="44" t="s">
        <v>724</v>
      </c>
      <c r="D1256" s="30"/>
      <c r="E1256" s="30"/>
      <c r="F1256" s="30"/>
      <c r="G1256" s="30"/>
      <c r="H1256" s="30"/>
    </row>
    <row r="1257" spans="1:8" ht="30.9" customHeight="1" x14ac:dyDescent="0.3">
      <c r="B1257" s="27" t="s">
        <v>301</v>
      </c>
      <c r="C1257" s="44" t="s">
        <v>725</v>
      </c>
      <c r="D1257" s="30"/>
      <c r="E1257" s="30"/>
      <c r="F1257" s="30"/>
      <c r="G1257" s="30"/>
      <c r="H1257" s="30"/>
    </row>
    <row r="1258" spans="1:8" ht="15.9" customHeight="1" x14ac:dyDescent="0.3">
      <c r="B1258" s="43" t="s">
        <v>285</v>
      </c>
      <c r="C1258" s="30"/>
      <c r="D1258" s="30"/>
      <c r="E1258" s="30"/>
      <c r="F1258" s="30"/>
      <c r="G1258" s="30"/>
      <c r="H1258" s="30"/>
    </row>
    <row r="1259" spans="1:8" ht="18" customHeight="1" x14ac:dyDescent="0.3">
      <c r="B1259" s="27" t="s">
        <v>302</v>
      </c>
      <c r="C1259" s="44" t="s">
        <v>699</v>
      </c>
      <c r="D1259" s="30"/>
      <c r="E1259" s="30"/>
      <c r="F1259" s="30"/>
      <c r="G1259" s="30"/>
      <c r="H1259" s="30"/>
    </row>
    <row r="1260" spans="1:8" ht="18" customHeight="1" x14ac:dyDescent="0.3">
      <c r="B1260" s="27" t="s">
        <v>303</v>
      </c>
      <c r="C1260" s="44" t="s">
        <v>726</v>
      </c>
      <c r="D1260" s="30"/>
      <c r="E1260" s="30"/>
      <c r="F1260" s="30"/>
      <c r="G1260" s="30"/>
      <c r="H1260" s="30"/>
    </row>
    <row r="1261" spans="1:8" ht="18" customHeight="1" x14ac:dyDescent="0.3">
      <c r="B1261" s="27" t="s">
        <v>304</v>
      </c>
      <c r="C1261" s="44" t="s">
        <v>1095</v>
      </c>
      <c r="D1261" s="30"/>
      <c r="E1261" s="30"/>
      <c r="F1261" s="30"/>
      <c r="G1261" s="30"/>
      <c r="H1261" s="30"/>
    </row>
    <row r="1264" spans="1:8" ht="21.9" customHeight="1" x14ac:dyDescent="0.3">
      <c r="A1264" s="45" t="s">
        <v>1139</v>
      </c>
      <c r="B1264" s="30"/>
      <c r="C1264" s="30"/>
      <c r="D1264" s="30"/>
      <c r="E1264" s="30"/>
      <c r="F1264" s="30"/>
      <c r="G1264" s="30"/>
      <c r="H1264" s="30"/>
    </row>
    <row r="1266" spans="2:8" ht="15.9" customHeight="1" x14ac:dyDescent="0.3">
      <c r="B1266" s="43" t="s">
        <v>3</v>
      </c>
      <c r="C1266" s="30"/>
      <c r="D1266" s="30"/>
      <c r="E1266" s="30"/>
      <c r="F1266" s="30"/>
      <c r="G1266" s="30"/>
      <c r="H1266" s="30"/>
    </row>
    <row r="1267" spans="2:8" ht="18" customHeight="1" x14ac:dyDescent="0.3">
      <c r="B1267" s="27" t="s">
        <v>286</v>
      </c>
      <c r="C1267" s="44" t="s">
        <v>727</v>
      </c>
      <c r="D1267" s="30"/>
      <c r="E1267" s="30"/>
      <c r="F1267" s="30"/>
      <c r="G1267" s="30"/>
      <c r="H1267" s="30"/>
    </row>
    <row r="1268" spans="2:8" ht="18" customHeight="1" x14ac:dyDescent="0.3">
      <c r="B1268" s="27" t="s">
        <v>287</v>
      </c>
      <c r="C1268" s="44" t="s">
        <v>728</v>
      </c>
      <c r="D1268" s="30"/>
      <c r="E1268" s="30"/>
      <c r="F1268" s="30"/>
      <c r="G1268" s="30"/>
      <c r="H1268" s="30"/>
    </row>
    <row r="1269" spans="2:8" ht="18" customHeight="1" x14ac:dyDescent="0.3">
      <c r="B1269" s="27" t="s">
        <v>288</v>
      </c>
      <c r="C1269" s="44" t="s">
        <v>169</v>
      </c>
      <c r="D1269" s="30"/>
      <c r="E1269" s="30"/>
      <c r="F1269" s="30"/>
      <c r="G1269" s="30"/>
      <c r="H1269" s="30"/>
    </row>
    <row r="1270" spans="2:8" ht="18" customHeight="1" x14ac:dyDescent="0.3">
      <c r="B1270" s="27" t="s">
        <v>289</v>
      </c>
      <c r="C1270" s="44" t="s">
        <v>1093</v>
      </c>
      <c r="D1270" s="30"/>
      <c r="E1270" s="30"/>
      <c r="F1270" s="30"/>
      <c r="G1270" s="30"/>
      <c r="H1270" s="30"/>
    </row>
    <row r="1271" spans="2:8" ht="18" customHeight="1" x14ac:dyDescent="0.3">
      <c r="B1271" s="27" t="s">
        <v>290</v>
      </c>
      <c r="C1271" s="44" t="s">
        <v>166</v>
      </c>
      <c r="D1271" s="30"/>
      <c r="E1271" s="30"/>
      <c r="F1271" s="30"/>
      <c r="G1271" s="30"/>
      <c r="H1271" s="30"/>
    </row>
    <row r="1272" spans="2:8" ht="15.9" customHeight="1" x14ac:dyDescent="0.3">
      <c r="B1272" s="43" t="s">
        <v>282</v>
      </c>
      <c r="C1272" s="30"/>
      <c r="D1272" s="30"/>
      <c r="E1272" s="30"/>
      <c r="F1272" s="30"/>
      <c r="G1272" s="30"/>
      <c r="H1272" s="30"/>
    </row>
    <row r="1273" spans="2:8" ht="30.9" customHeight="1" x14ac:dyDescent="0.3">
      <c r="B1273" s="27" t="s">
        <v>291</v>
      </c>
      <c r="C1273" s="44" t="s">
        <v>729</v>
      </c>
      <c r="D1273" s="30"/>
      <c r="E1273" s="30"/>
      <c r="F1273" s="30"/>
      <c r="G1273" s="30"/>
      <c r="H1273" s="30"/>
    </row>
    <row r="1274" spans="2:8" ht="18" customHeight="1" x14ac:dyDescent="0.3">
      <c r="B1274" s="27" t="s">
        <v>292</v>
      </c>
      <c r="C1274" s="44" t="s">
        <v>682</v>
      </c>
      <c r="D1274" s="30"/>
      <c r="E1274" s="30"/>
      <c r="F1274" s="30"/>
      <c r="G1274" s="30"/>
      <c r="H1274" s="30"/>
    </row>
    <row r="1275" spans="2:8" ht="30.9" customHeight="1" x14ac:dyDescent="0.3">
      <c r="B1275" s="27" t="s">
        <v>293</v>
      </c>
      <c r="C1275" s="44" t="s">
        <v>730</v>
      </c>
      <c r="D1275" s="30"/>
      <c r="E1275" s="30"/>
      <c r="F1275" s="30"/>
      <c r="G1275" s="30"/>
      <c r="H1275" s="30"/>
    </row>
    <row r="1276" spans="2:8" ht="15.9" customHeight="1" x14ac:dyDescent="0.3">
      <c r="B1276" s="43" t="s">
        <v>283</v>
      </c>
      <c r="C1276" s="30"/>
      <c r="D1276" s="30"/>
      <c r="E1276" s="30"/>
      <c r="F1276" s="30"/>
      <c r="G1276" s="30"/>
      <c r="H1276" s="30"/>
    </row>
    <row r="1277" spans="2:8" ht="18" customHeight="1" x14ac:dyDescent="0.3">
      <c r="B1277" s="27" t="s">
        <v>294</v>
      </c>
      <c r="C1277" s="44" t="s">
        <v>347</v>
      </c>
      <c r="D1277" s="30"/>
      <c r="E1277" s="30"/>
      <c r="F1277" s="30"/>
      <c r="G1277" s="30"/>
      <c r="H1277" s="30"/>
    </row>
    <row r="1278" spans="2:8" ht="18" customHeight="1" x14ac:dyDescent="0.3">
      <c r="B1278" s="27" t="s">
        <v>295</v>
      </c>
      <c r="C1278" s="44" t="s">
        <v>348</v>
      </c>
      <c r="D1278" s="30"/>
      <c r="E1278" s="30"/>
      <c r="F1278" s="30"/>
      <c r="G1278" s="30"/>
      <c r="H1278" s="30"/>
    </row>
    <row r="1279" spans="2:8" ht="18" customHeight="1" x14ac:dyDescent="0.3">
      <c r="B1279" s="27" t="s">
        <v>296</v>
      </c>
      <c r="C1279" s="44" t="s">
        <v>310</v>
      </c>
      <c r="D1279" s="30"/>
      <c r="E1279" s="30"/>
      <c r="F1279" s="30"/>
      <c r="G1279" s="30"/>
      <c r="H1279" s="30"/>
    </row>
    <row r="1280" spans="2:8" ht="15.9" customHeight="1" x14ac:dyDescent="0.3">
      <c r="B1280" s="43" t="s">
        <v>284</v>
      </c>
      <c r="C1280" s="30"/>
      <c r="D1280" s="30"/>
      <c r="E1280" s="30"/>
      <c r="F1280" s="30"/>
      <c r="G1280" s="30"/>
      <c r="H1280" s="30"/>
    </row>
    <row r="1281" spans="1:8" ht="18" customHeight="1" x14ac:dyDescent="0.3">
      <c r="B1281" s="27" t="s">
        <v>297</v>
      </c>
      <c r="C1281" s="44" t="s">
        <v>731</v>
      </c>
      <c r="D1281" s="30"/>
      <c r="E1281" s="30"/>
      <c r="F1281" s="30"/>
      <c r="G1281" s="30"/>
      <c r="H1281" s="30"/>
    </row>
    <row r="1282" spans="1:8" ht="18" customHeight="1" x14ac:dyDescent="0.3">
      <c r="B1282" s="27" t="s">
        <v>298</v>
      </c>
      <c r="C1282" s="44" t="s">
        <v>732</v>
      </c>
      <c r="D1282" s="30"/>
      <c r="E1282" s="30"/>
      <c r="F1282" s="30"/>
      <c r="G1282" s="30"/>
      <c r="H1282" s="30"/>
    </row>
    <row r="1283" spans="1:8" ht="42.9" customHeight="1" x14ac:dyDescent="0.3">
      <c r="B1283" s="27" t="s">
        <v>299</v>
      </c>
      <c r="C1283" s="44" t="s">
        <v>733</v>
      </c>
      <c r="D1283" s="30"/>
      <c r="E1283" s="30"/>
      <c r="F1283" s="30"/>
      <c r="G1283" s="30"/>
      <c r="H1283" s="30"/>
    </row>
    <row r="1284" spans="1:8" ht="30.9" customHeight="1" x14ac:dyDescent="0.3">
      <c r="B1284" s="27" t="s">
        <v>300</v>
      </c>
      <c r="C1284" s="44" t="s">
        <v>734</v>
      </c>
      <c r="D1284" s="30"/>
      <c r="E1284" s="30"/>
      <c r="F1284" s="30"/>
      <c r="G1284" s="30"/>
      <c r="H1284" s="30"/>
    </row>
    <row r="1285" spans="1:8" ht="30.9" customHeight="1" x14ac:dyDescent="0.3">
      <c r="B1285" s="27" t="s">
        <v>301</v>
      </c>
      <c r="C1285" s="44" t="s">
        <v>735</v>
      </c>
      <c r="D1285" s="30"/>
      <c r="E1285" s="30"/>
      <c r="F1285" s="30"/>
      <c r="G1285" s="30"/>
      <c r="H1285" s="30"/>
    </row>
    <row r="1286" spans="1:8" ht="15.9" customHeight="1" x14ac:dyDescent="0.3">
      <c r="B1286" s="43" t="s">
        <v>285</v>
      </c>
      <c r="C1286" s="30"/>
      <c r="D1286" s="30"/>
      <c r="E1286" s="30"/>
      <c r="F1286" s="30"/>
      <c r="G1286" s="30"/>
      <c r="H1286" s="30"/>
    </row>
    <row r="1287" spans="1:8" ht="18" customHeight="1" x14ac:dyDescent="0.3">
      <c r="B1287" s="27" t="s">
        <v>302</v>
      </c>
      <c r="C1287" s="44" t="s">
        <v>717</v>
      </c>
      <c r="D1287" s="30"/>
      <c r="E1287" s="30"/>
      <c r="F1287" s="30"/>
      <c r="G1287" s="30"/>
      <c r="H1287" s="30"/>
    </row>
    <row r="1288" spans="1:8" ht="18" customHeight="1" x14ac:dyDescent="0.3">
      <c r="B1288" s="27" t="s">
        <v>303</v>
      </c>
      <c r="C1288" s="44" t="s">
        <v>354</v>
      </c>
      <c r="D1288" s="30"/>
      <c r="E1288" s="30"/>
      <c r="F1288" s="30"/>
      <c r="G1288" s="30"/>
      <c r="H1288" s="30"/>
    </row>
    <row r="1289" spans="1:8" ht="18" customHeight="1" x14ac:dyDescent="0.3">
      <c r="B1289" s="27" t="s">
        <v>304</v>
      </c>
      <c r="C1289" s="44" t="s">
        <v>1095</v>
      </c>
      <c r="D1289" s="30"/>
      <c r="E1289" s="30"/>
      <c r="F1289" s="30"/>
      <c r="G1289" s="30"/>
      <c r="H1289" s="30"/>
    </row>
    <row r="1292" spans="1:8" ht="21.9" customHeight="1" x14ac:dyDescent="0.3">
      <c r="A1292" s="45" t="s">
        <v>1140</v>
      </c>
      <c r="B1292" s="30"/>
      <c r="C1292" s="30"/>
      <c r="D1292" s="30"/>
      <c r="E1292" s="30"/>
      <c r="F1292" s="30"/>
      <c r="G1292" s="30"/>
      <c r="H1292" s="30"/>
    </row>
    <row r="1294" spans="1:8" ht="15.9" customHeight="1" x14ac:dyDescent="0.3">
      <c r="B1294" s="43" t="s">
        <v>3</v>
      </c>
      <c r="C1294" s="30"/>
      <c r="D1294" s="30"/>
      <c r="E1294" s="30"/>
      <c r="F1294" s="30"/>
      <c r="G1294" s="30"/>
      <c r="H1294" s="30"/>
    </row>
    <row r="1295" spans="1:8" ht="18" customHeight="1" x14ac:dyDescent="0.3">
      <c r="B1295" s="27" t="s">
        <v>286</v>
      </c>
      <c r="C1295" s="44" t="s">
        <v>736</v>
      </c>
      <c r="D1295" s="30"/>
      <c r="E1295" s="30"/>
      <c r="F1295" s="30"/>
      <c r="G1295" s="30"/>
      <c r="H1295" s="30"/>
    </row>
    <row r="1296" spans="1:8" ht="18" customHeight="1" x14ac:dyDescent="0.3">
      <c r="B1296" s="27" t="s">
        <v>287</v>
      </c>
      <c r="C1296" s="44" t="s">
        <v>737</v>
      </c>
      <c r="D1296" s="30"/>
      <c r="E1296" s="30"/>
      <c r="F1296" s="30"/>
      <c r="G1296" s="30"/>
      <c r="H1296" s="30"/>
    </row>
    <row r="1297" spans="2:8" ht="18" customHeight="1" x14ac:dyDescent="0.3">
      <c r="B1297" s="27" t="s">
        <v>288</v>
      </c>
      <c r="C1297" s="44" t="s">
        <v>169</v>
      </c>
      <c r="D1297" s="30"/>
      <c r="E1297" s="30"/>
      <c r="F1297" s="30"/>
      <c r="G1297" s="30"/>
      <c r="H1297" s="30"/>
    </row>
    <row r="1298" spans="2:8" ht="18" customHeight="1" x14ac:dyDescent="0.3">
      <c r="B1298" s="27" t="s">
        <v>289</v>
      </c>
      <c r="C1298" s="44" t="s">
        <v>1093</v>
      </c>
      <c r="D1298" s="30"/>
      <c r="E1298" s="30"/>
      <c r="F1298" s="30"/>
      <c r="G1298" s="30"/>
      <c r="H1298" s="30"/>
    </row>
    <row r="1299" spans="2:8" ht="18" customHeight="1" x14ac:dyDescent="0.3">
      <c r="B1299" s="27" t="s">
        <v>290</v>
      </c>
      <c r="C1299" s="44" t="s">
        <v>166</v>
      </c>
      <c r="D1299" s="30"/>
      <c r="E1299" s="30"/>
      <c r="F1299" s="30"/>
      <c r="G1299" s="30"/>
      <c r="H1299" s="30"/>
    </row>
    <row r="1300" spans="2:8" ht="15.9" customHeight="1" x14ac:dyDescent="0.3">
      <c r="B1300" s="43" t="s">
        <v>282</v>
      </c>
      <c r="C1300" s="30"/>
      <c r="D1300" s="30"/>
      <c r="E1300" s="30"/>
      <c r="F1300" s="30"/>
      <c r="G1300" s="30"/>
      <c r="H1300" s="30"/>
    </row>
    <row r="1301" spans="2:8" ht="44.1" customHeight="1" x14ac:dyDescent="0.3">
      <c r="B1301" s="27" t="s">
        <v>291</v>
      </c>
      <c r="C1301" s="44" t="s">
        <v>738</v>
      </c>
      <c r="D1301" s="30"/>
      <c r="E1301" s="30"/>
      <c r="F1301" s="30"/>
      <c r="G1301" s="30"/>
      <c r="H1301" s="30"/>
    </row>
    <row r="1302" spans="2:8" ht="18" customHeight="1" x14ac:dyDescent="0.3">
      <c r="B1302" s="27" t="s">
        <v>292</v>
      </c>
      <c r="C1302" s="44" t="s">
        <v>682</v>
      </c>
      <c r="D1302" s="30"/>
      <c r="E1302" s="30"/>
      <c r="F1302" s="30"/>
      <c r="G1302" s="30"/>
      <c r="H1302" s="30"/>
    </row>
    <row r="1303" spans="2:8" ht="30.9" customHeight="1" x14ac:dyDescent="0.3">
      <c r="B1303" s="27" t="s">
        <v>293</v>
      </c>
      <c r="C1303" s="44" t="s">
        <v>739</v>
      </c>
      <c r="D1303" s="30"/>
      <c r="E1303" s="30"/>
      <c r="F1303" s="30"/>
      <c r="G1303" s="30"/>
      <c r="H1303" s="30"/>
    </row>
    <row r="1304" spans="2:8" ht="15.9" customHeight="1" x14ac:dyDescent="0.3">
      <c r="B1304" s="43" t="s">
        <v>283</v>
      </c>
      <c r="C1304" s="30"/>
      <c r="D1304" s="30"/>
      <c r="E1304" s="30"/>
      <c r="F1304" s="30"/>
      <c r="G1304" s="30"/>
      <c r="H1304" s="30"/>
    </row>
    <row r="1305" spans="2:8" ht="18" customHeight="1" x14ac:dyDescent="0.3">
      <c r="B1305" s="27" t="s">
        <v>294</v>
      </c>
      <c r="C1305" s="44" t="s">
        <v>308</v>
      </c>
      <c r="D1305" s="30"/>
      <c r="E1305" s="30"/>
      <c r="F1305" s="30"/>
      <c r="G1305" s="30"/>
      <c r="H1305" s="30"/>
    </row>
    <row r="1306" spans="2:8" ht="18" customHeight="1" x14ac:dyDescent="0.3">
      <c r="B1306" s="27" t="s">
        <v>295</v>
      </c>
      <c r="C1306" s="44" t="s">
        <v>309</v>
      </c>
      <c r="D1306" s="30"/>
      <c r="E1306" s="30"/>
      <c r="F1306" s="30"/>
      <c r="G1306" s="30"/>
      <c r="H1306" s="30"/>
    </row>
    <row r="1307" spans="2:8" ht="18" customHeight="1" x14ac:dyDescent="0.3">
      <c r="B1307" s="27" t="s">
        <v>296</v>
      </c>
      <c r="C1307" s="44" t="s">
        <v>509</v>
      </c>
      <c r="D1307" s="30"/>
      <c r="E1307" s="30"/>
      <c r="F1307" s="30"/>
      <c r="G1307" s="30"/>
      <c r="H1307" s="30"/>
    </row>
    <row r="1308" spans="2:8" ht="15.9" customHeight="1" x14ac:dyDescent="0.3">
      <c r="B1308" s="43" t="s">
        <v>284</v>
      </c>
      <c r="C1308" s="30"/>
      <c r="D1308" s="30"/>
      <c r="E1308" s="30"/>
      <c r="F1308" s="30"/>
      <c r="G1308" s="30"/>
      <c r="H1308" s="30"/>
    </row>
    <row r="1309" spans="2:8" ht="18" customHeight="1" x14ac:dyDescent="0.3">
      <c r="B1309" s="27" t="s">
        <v>297</v>
      </c>
      <c r="C1309" s="44" t="s">
        <v>740</v>
      </c>
      <c r="D1309" s="30"/>
      <c r="E1309" s="30"/>
      <c r="F1309" s="30"/>
      <c r="G1309" s="30"/>
      <c r="H1309" s="30"/>
    </row>
    <row r="1310" spans="2:8" ht="18" customHeight="1" x14ac:dyDescent="0.3">
      <c r="B1310" s="27" t="s">
        <v>298</v>
      </c>
      <c r="C1310" s="44" t="s">
        <v>741</v>
      </c>
      <c r="D1310" s="30"/>
      <c r="E1310" s="30"/>
      <c r="F1310" s="30"/>
      <c r="G1310" s="30"/>
      <c r="H1310" s="30"/>
    </row>
    <row r="1311" spans="2:8" ht="42.9" customHeight="1" x14ac:dyDescent="0.3">
      <c r="B1311" s="27" t="s">
        <v>299</v>
      </c>
      <c r="C1311" s="44" t="s">
        <v>742</v>
      </c>
      <c r="D1311" s="30"/>
      <c r="E1311" s="30"/>
      <c r="F1311" s="30"/>
      <c r="G1311" s="30"/>
      <c r="H1311" s="30"/>
    </row>
    <row r="1312" spans="2:8" ht="30.9" customHeight="1" x14ac:dyDescent="0.3">
      <c r="B1312" s="27" t="s">
        <v>300</v>
      </c>
      <c r="C1312" s="44" t="s">
        <v>743</v>
      </c>
      <c r="D1312" s="30"/>
      <c r="E1312" s="30"/>
      <c r="F1312" s="30"/>
      <c r="G1312" s="30"/>
      <c r="H1312" s="30"/>
    </row>
    <row r="1313" spans="1:8" ht="30.9" customHeight="1" x14ac:dyDescent="0.3">
      <c r="B1313" s="27" t="s">
        <v>301</v>
      </c>
      <c r="C1313" s="44" t="s">
        <v>744</v>
      </c>
      <c r="D1313" s="30"/>
      <c r="E1313" s="30"/>
      <c r="F1313" s="30"/>
      <c r="G1313" s="30"/>
      <c r="H1313" s="30"/>
    </row>
    <row r="1314" spans="1:8" ht="15.9" customHeight="1" x14ac:dyDescent="0.3">
      <c r="B1314" s="43" t="s">
        <v>285</v>
      </c>
      <c r="C1314" s="30"/>
      <c r="D1314" s="30"/>
      <c r="E1314" s="30"/>
      <c r="F1314" s="30"/>
      <c r="G1314" s="30"/>
      <c r="H1314" s="30"/>
    </row>
    <row r="1315" spans="1:8" ht="18" customHeight="1" x14ac:dyDescent="0.3">
      <c r="B1315" s="27" t="s">
        <v>302</v>
      </c>
      <c r="C1315" s="44" t="s">
        <v>717</v>
      </c>
      <c r="D1315" s="30"/>
      <c r="E1315" s="30"/>
      <c r="F1315" s="30"/>
      <c r="G1315" s="30"/>
      <c r="H1315" s="30"/>
    </row>
    <row r="1316" spans="1:8" ht="18" customHeight="1" x14ac:dyDescent="0.3">
      <c r="B1316" s="27" t="s">
        <v>303</v>
      </c>
      <c r="C1316" s="44" t="s">
        <v>354</v>
      </c>
      <c r="D1316" s="30"/>
      <c r="E1316" s="30"/>
      <c r="F1316" s="30"/>
      <c r="G1316" s="30"/>
      <c r="H1316" s="30"/>
    </row>
    <row r="1317" spans="1:8" ht="18" customHeight="1" x14ac:dyDescent="0.3">
      <c r="B1317" s="27" t="s">
        <v>304</v>
      </c>
      <c r="C1317" s="44" t="s">
        <v>745</v>
      </c>
      <c r="D1317" s="30"/>
      <c r="E1317" s="30"/>
      <c r="F1317" s="30"/>
      <c r="G1317" s="30"/>
      <c r="H1317" s="30"/>
    </row>
    <row r="1320" spans="1:8" ht="21.9" customHeight="1" x14ac:dyDescent="0.3">
      <c r="A1320" s="45" t="s">
        <v>1141</v>
      </c>
      <c r="B1320" s="30"/>
      <c r="C1320" s="30"/>
      <c r="D1320" s="30"/>
      <c r="E1320" s="30"/>
      <c r="F1320" s="30"/>
      <c r="G1320" s="30"/>
      <c r="H1320" s="30"/>
    </row>
    <row r="1322" spans="1:8" ht="15.9" customHeight="1" x14ac:dyDescent="0.3">
      <c r="B1322" s="43" t="s">
        <v>3</v>
      </c>
      <c r="C1322" s="30"/>
      <c r="D1322" s="30"/>
      <c r="E1322" s="30"/>
      <c r="F1322" s="30"/>
      <c r="G1322" s="30"/>
      <c r="H1322" s="30"/>
    </row>
    <row r="1323" spans="1:8" ht="18" customHeight="1" x14ac:dyDescent="0.3">
      <c r="B1323" s="27" t="s">
        <v>286</v>
      </c>
      <c r="C1323" s="44" t="s">
        <v>746</v>
      </c>
      <c r="D1323" s="30"/>
      <c r="E1323" s="30"/>
      <c r="F1323" s="30"/>
      <c r="G1323" s="30"/>
      <c r="H1323" s="30"/>
    </row>
    <row r="1324" spans="1:8" ht="18" customHeight="1" x14ac:dyDescent="0.3">
      <c r="B1324" s="27" t="s">
        <v>287</v>
      </c>
      <c r="C1324" s="44" t="s">
        <v>747</v>
      </c>
      <c r="D1324" s="30"/>
      <c r="E1324" s="30"/>
      <c r="F1324" s="30"/>
      <c r="G1324" s="30"/>
      <c r="H1324" s="30"/>
    </row>
    <row r="1325" spans="1:8" ht="18" customHeight="1" x14ac:dyDescent="0.3">
      <c r="B1325" s="27" t="s">
        <v>288</v>
      </c>
      <c r="C1325" s="44" t="s">
        <v>169</v>
      </c>
      <c r="D1325" s="30"/>
      <c r="E1325" s="30"/>
      <c r="F1325" s="30"/>
      <c r="G1325" s="30"/>
      <c r="H1325" s="30"/>
    </row>
    <row r="1326" spans="1:8" ht="18" customHeight="1" x14ac:dyDescent="0.3">
      <c r="B1326" s="27" t="s">
        <v>289</v>
      </c>
      <c r="C1326" s="44" t="s">
        <v>1093</v>
      </c>
      <c r="D1326" s="30"/>
      <c r="E1326" s="30"/>
      <c r="F1326" s="30"/>
      <c r="G1326" s="30"/>
      <c r="H1326" s="30"/>
    </row>
    <row r="1327" spans="1:8" ht="18" customHeight="1" x14ac:dyDescent="0.3">
      <c r="B1327" s="27" t="s">
        <v>290</v>
      </c>
      <c r="C1327" s="44" t="s">
        <v>166</v>
      </c>
      <c r="D1327" s="30"/>
      <c r="E1327" s="30"/>
      <c r="F1327" s="30"/>
      <c r="G1327" s="30"/>
      <c r="H1327" s="30"/>
    </row>
    <row r="1328" spans="1:8" ht="15.9" customHeight="1" x14ac:dyDescent="0.3">
      <c r="B1328" s="43" t="s">
        <v>282</v>
      </c>
      <c r="C1328" s="30"/>
      <c r="D1328" s="30"/>
      <c r="E1328" s="30"/>
      <c r="F1328" s="30"/>
      <c r="G1328" s="30"/>
      <c r="H1328" s="30"/>
    </row>
    <row r="1329" spans="2:8" ht="18" customHeight="1" x14ac:dyDescent="0.3">
      <c r="B1329" s="27" t="s">
        <v>291</v>
      </c>
      <c r="C1329" s="44" t="s">
        <v>748</v>
      </c>
      <c r="D1329" s="30"/>
      <c r="E1329" s="30"/>
      <c r="F1329" s="30"/>
      <c r="G1329" s="30"/>
      <c r="H1329" s="30"/>
    </row>
    <row r="1330" spans="2:8" ht="18" customHeight="1" x14ac:dyDescent="0.3">
      <c r="B1330" s="27" t="s">
        <v>292</v>
      </c>
      <c r="C1330" s="44" t="s">
        <v>682</v>
      </c>
      <c r="D1330" s="30"/>
      <c r="E1330" s="30"/>
      <c r="F1330" s="30"/>
      <c r="G1330" s="30"/>
      <c r="H1330" s="30"/>
    </row>
    <row r="1331" spans="2:8" ht="18" customHeight="1" x14ac:dyDescent="0.3">
      <c r="B1331" s="27" t="s">
        <v>293</v>
      </c>
      <c r="C1331" s="44" t="s">
        <v>749</v>
      </c>
      <c r="D1331" s="30"/>
      <c r="E1331" s="30"/>
      <c r="F1331" s="30"/>
      <c r="G1331" s="30"/>
      <c r="H1331" s="30"/>
    </row>
    <row r="1332" spans="2:8" ht="15.9" customHeight="1" x14ac:dyDescent="0.3">
      <c r="B1332" s="43" t="s">
        <v>283</v>
      </c>
      <c r="C1332" s="30"/>
      <c r="D1332" s="30"/>
      <c r="E1332" s="30"/>
      <c r="F1332" s="30"/>
      <c r="G1332" s="30"/>
      <c r="H1332" s="30"/>
    </row>
    <row r="1333" spans="2:8" ht="18" customHeight="1" x14ac:dyDescent="0.3">
      <c r="B1333" s="27" t="s">
        <v>294</v>
      </c>
      <c r="C1333" s="44" t="s">
        <v>308</v>
      </c>
      <c r="D1333" s="30"/>
      <c r="E1333" s="30"/>
      <c r="F1333" s="30"/>
      <c r="G1333" s="30"/>
      <c r="H1333" s="30"/>
    </row>
    <row r="1334" spans="2:8" ht="18" customHeight="1" x14ac:dyDescent="0.3">
      <c r="B1334" s="27" t="s">
        <v>295</v>
      </c>
      <c r="C1334" s="44" t="s">
        <v>309</v>
      </c>
      <c r="D1334" s="30"/>
      <c r="E1334" s="30"/>
      <c r="F1334" s="30"/>
      <c r="G1334" s="30"/>
      <c r="H1334" s="30"/>
    </row>
    <row r="1335" spans="2:8" ht="18" customHeight="1" x14ac:dyDescent="0.3">
      <c r="B1335" s="27" t="s">
        <v>296</v>
      </c>
      <c r="C1335" s="44" t="s">
        <v>310</v>
      </c>
      <c r="D1335" s="30"/>
      <c r="E1335" s="30"/>
      <c r="F1335" s="30"/>
      <c r="G1335" s="30"/>
      <c r="H1335" s="30"/>
    </row>
    <row r="1336" spans="2:8" ht="15.9" customHeight="1" x14ac:dyDescent="0.3">
      <c r="B1336" s="43" t="s">
        <v>284</v>
      </c>
      <c r="C1336" s="30"/>
      <c r="D1336" s="30"/>
      <c r="E1336" s="30"/>
      <c r="F1336" s="30"/>
      <c r="G1336" s="30"/>
      <c r="H1336" s="30"/>
    </row>
    <row r="1337" spans="2:8" ht="18" customHeight="1" x14ac:dyDescent="0.3">
      <c r="B1337" s="27" t="s">
        <v>297</v>
      </c>
      <c r="C1337" s="44" t="s">
        <v>684</v>
      </c>
      <c r="D1337" s="30"/>
      <c r="E1337" s="30"/>
      <c r="F1337" s="30"/>
      <c r="G1337" s="30"/>
      <c r="H1337" s="30"/>
    </row>
    <row r="1338" spans="2:8" ht="18" customHeight="1" x14ac:dyDescent="0.3">
      <c r="B1338" s="27" t="s">
        <v>298</v>
      </c>
      <c r="C1338" s="44" t="s">
        <v>750</v>
      </c>
      <c r="D1338" s="30"/>
      <c r="E1338" s="30"/>
      <c r="F1338" s="30"/>
      <c r="G1338" s="30"/>
      <c r="H1338" s="30"/>
    </row>
    <row r="1339" spans="2:8" ht="42.9" customHeight="1" x14ac:dyDescent="0.3">
      <c r="B1339" s="27" t="s">
        <v>299</v>
      </c>
      <c r="C1339" s="44" t="s">
        <v>751</v>
      </c>
      <c r="D1339" s="30"/>
      <c r="E1339" s="30"/>
      <c r="F1339" s="30"/>
      <c r="G1339" s="30"/>
      <c r="H1339" s="30"/>
    </row>
    <row r="1340" spans="2:8" ht="18" customHeight="1" x14ac:dyDescent="0.3">
      <c r="B1340" s="27" t="s">
        <v>300</v>
      </c>
      <c r="C1340" s="44" t="s">
        <v>752</v>
      </c>
      <c r="D1340" s="30"/>
      <c r="E1340" s="30"/>
      <c r="F1340" s="30"/>
      <c r="G1340" s="30"/>
      <c r="H1340" s="30"/>
    </row>
    <row r="1341" spans="2:8" ht="30.9" customHeight="1" x14ac:dyDescent="0.3">
      <c r="B1341" s="27" t="s">
        <v>301</v>
      </c>
      <c r="C1341" s="44" t="s">
        <v>753</v>
      </c>
      <c r="D1341" s="30"/>
      <c r="E1341" s="30"/>
      <c r="F1341" s="30"/>
      <c r="G1341" s="30"/>
      <c r="H1341" s="30"/>
    </row>
    <row r="1342" spans="2:8" ht="15.9" customHeight="1" x14ac:dyDescent="0.3">
      <c r="B1342" s="43" t="s">
        <v>285</v>
      </c>
      <c r="C1342" s="30"/>
      <c r="D1342" s="30"/>
      <c r="E1342" s="30"/>
      <c r="F1342" s="30"/>
      <c r="G1342" s="30"/>
      <c r="H1342" s="30"/>
    </row>
    <row r="1343" spans="2:8" ht="18" customHeight="1" x14ac:dyDescent="0.3">
      <c r="B1343" s="27" t="s">
        <v>302</v>
      </c>
      <c r="C1343" s="44" t="s">
        <v>339</v>
      </c>
      <c r="D1343" s="30"/>
      <c r="E1343" s="30"/>
      <c r="F1343" s="30"/>
      <c r="G1343" s="30"/>
      <c r="H1343" s="30"/>
    </row>
    <row r="1344" spans="2:8" ht="18" customHeight="1" x14ac:dyDescent="0.3">
      <c r="B1344" s="27" t="s">
        <v>303</v>
      </c>
      <c r="C1344" s="44" t="s">
        <v>754</v>
      </c>
      <c r="D1344" s="30"/>
      <c r="E1344" s="30"/>
      <c r="F1344" s="30"/>
      <c r="G1344" s="30"/>
      <c r="H1344" s="30"/>
    </row>
    <row r="1345" spans="1:8" ht="18" customHeight="1" x14ac:dyDescent="0.3">
      <c r="B1345" s="27" t="s">
        <v>304</v>
      </c>
      <c r="C1345" s="44" t="s">
        <v>1095</v>
      </c>
      <c r="D1345" s="30"/>
      <c r="E1345" s="30"/>
      <c r="F1345" s="30"/>
      <c r="G1345" s="30"/>
      <c r="H1345" s="30"/>
    </row>
    <row r="1348" spans="1:8" ht="21.9" customHeight="1" x14ac:dyDescent="0.3">
      <c r="A1348" s="45" t="s">
        <v>1142</v>
      </c>
      <c r="B1348" s="30"/>
      <c r="C1348" s="30"/>
      <c r="D1348" s="30"/>
      <c r="E1348" s="30"/>
      <c r="F1348" s="30"/>
      <c r="G1348" s="30"/>
      <c r="H1348" s="30"/>
    </row>
    <row r="1350" spans="1:8" ht="15.9" customHeight="1" x14ac:dyDescent="0.3">
      <c r="B1350" s="43" t="s">
        <v>3</v>
      </c>
      <c r="C1350" s="30"/>
      <c r="D1350" s="30"/>
      <c r="E1350" s="30"/>
      <c r="F1350" s="30"/>
      <c r="G1350" s="30"/>
      <c r="H1350" s="30"/>
    </row>
    <row r="1351" spans="1:8" ht="18" customHeight="1" x14ac:dyDescent="0.3">
      <c r="B1351" s="27" t="s">
        <v>286</v>
      </c>
      <c r="C1351" s="44" t="s">
        <v>754</v>
      </c>
      <c r="D1351" s="30"/>
      <c r="E1351" s="30"/>
      <c r="F1351" s="30"/>
      <c r="G1351" s="30"/>
      <c r="H1351" s="30"/>
    </row>
    <row r="1352" spans="1:8" ht="18" customHeight="1" x14ac:dyDescent="0.3">
      <c r="B1352" s="27" t="s">
        <v>287</v>
      </c>
      <c r="C1352" s="44" t="s">
        <v>755</v>
      </c>
      <c r="D1352" s="30"/>
      <c r="E1352" s="30"/>
      <c r="F1352" s="30"/>
      <c r="G1352" s="30"/>
      <c r="H1352" s="30"/>
    </row>
    <row r="1353" spans="1:8" ht="18" customHeight="1" x14ac:dyDescent="0.3">
      <c r="B1353" s="27" t="s">
        <v>288</v>
      </c>
      <c r="C1353" s="44" t="s">
        <v>169</v>
      </c>
      <c r="D1353" s="30"/>
      <c r="E1353" s="30"/>
      <c r="F1353" s="30"/>
      <c r="G1353" s="30"/>
      <c r="H1353" s="30"/>
    </row>
    <row r="1354" spans="1:8" ht="18" customHeight="1" x14ac:dyDescent="0.3">
      <c r="B1354" s="27" t="s">
        <v>289</v>
      </c>
      <c r="C1354" s="44" t="s">
        <v>1093</v>
      </c>
      <c r="D1354" s="30"/>
      <c r="E1354" s="30"/>
      <c r="F1354" s="30"/>
      <c r="G1354" s="30"/>
      <c r="H1354" s="30"/>
    </row>
    <row r="1355" spans="1:8" ht="18" customHeight="1" x14ac:dyDescent="0.3">
      <c r="B1355" s="27" t="s">
        <v>290</v>
      </c>
      <c r="C1355" s="44" t="s">
        <v>166</v>
      </c>
      <c r="D1355" s="30"/>
      <c r="E1355" s="30"/>
      <c r="F1355" s="30"/>
      <c r="G1355" s="30"/>
      <c r="H1355" s="30"/>
    </row>
    <row r="1356" spans="1:8" ht="15.9" customHeight="1" x14ac:dyDescent="0.3">
      <c r="B1356" s="43" t="s">
        <v>282</v>
      </c>
      <c r="C1356" s="30"/>
      <c r="D1356" s="30"/>
      <c r="E1356" s="30"/>
      <c r="F1356" s="30"/>
      <c r="G1356" s="30"/>
      <c r="H1356" s="30"/>
    </row>
    <row r="1357" spans="1:8" ht="44.1" customHeight="1" x14ac:dyDescent="0.3">
      <c r="B1357" s="27" t="s">
        <v>291</v>
      </c>
      <c r="C1357" s="44" t="s">
        <v>756</v>
      </c>
      <c r="D1357" s="30"/>
      <c r="E1357" s="30"/>
      <c r="F1357" s="30"/>
      <c r="G1357" s="30"/>
      <c r="H1357" s="30"/>
    </row>
    <row r="1358" spans="1:8" ht="18" customHeight="1" x14ac:dyDescent="0.3">
      <c r="B1358" s="27" t="s">
        <v>292</v>
      </c>
      <c r="C1358" s="44" t="s">
        <v>682</v>
      </c>
      <c r="D1358" s="30"/>
      <c r="E1358" s="30"/>
      <c r="F1358" s="30"/>
      <c r="G1358" s="30"/>
      <c r="H1358" s="30"/>
    </row>
    <row r="1359" spans="1:8" ht="30.9" customHeight="1" x14ac:dyDescent="0.3">
      <c r="B1359" s="27" t="s">
        <v>293</v>
      </c>
      <c r="C1359" s="44" t="s">
        <v>757</v>
      </c>
      <c r="D1359" s="30"/>
      <c r="E1359" s="30"/>
      <c r="F1359" s="30"/>
      <c r="G1359" s="30"/>
      <c r="H1359" s="30"/>
    </row>
    <row r="1360" spans="1:8" ht="15.9" customHeight="1" x14ac:dyDescent="0.3">
      <c r="B1360" s="43" t="s">
        <v>283</v>
      </c>
      <c r="C1360" s="30"/>
      <c r="D1360" s="30"/>
      <c r="E1360" s="30"/>
      <c r="F1360" s="30"/>
      <c r="G1360" s="30"/>
      <c r="H1360" s="30"/>
    </row>
    <row r="1361" spans="1:8" ht="18" customHeight="1" x14ac:dyDescent="0.3">
      <c r="B1361" s="27" t="s">
        <v>294</v>
      </c>
      <c r="C1361" s="44" t="s">
        <v>308</v>
      </c>
      <c r="D1361" s="30"/>
      <c r="E1361" s="30"/>
      <c r="F1361" s="30"/>
      <c r="G1361" s="30"/>
      <c r="H1361" s="30"/>
    </row>
    <row r="1362" spans="1:8" ht="18" customHeight="1" x14ac:dyDescent="0.3">
      <c r="B1362" s="27" t="s">
        <v>295</v>
      </c>
      <c r="C1362" s="44" t="s">
        <v>309</v>
      </c>
      <c r="D1362" s="30"/>
      <c r="E1362" s="30"/>
      <c r="F1362" s="30"/>
      <c r="G1362" s="30"/>
      <c r="H1362" s="30"/>
    </row>
    <row r="1363" spans="1:8" ht="18" customHeight="1" x14ac:dyDescent="0.3">
      <c r="B1363" s="27" t="s">
        <v>296</v>
      </c>
      <c r="C1363" s="44" t="s">
        <v>310</v>
      </c>
      <c r="D1363" s="30"/>
      <c r="E1363" s="30"/>
      <c r="F1363" s="30"/>
      <c r="G1363" s="30"/>
      <c r="H1363" s="30"/>
    </row>
    <row r="1364" spans="1:8" ht="15.9" customHeight="1" x14ac:dyDescent="0.3">
      <c r="B1364" s="43" t="s">
        <v>284</v>
      </c>
      <c r="C1364" s="30"/>
      <c r="D1364" s="30"/>
      <c r="E1364" s="30"/>
      <c r="F1364" s="30"/>
      <c r="G1364" s="30"/>
      <c r="H1364" s="30"/>
    </row>
    <row r="1365" spans="1:8" ht="18" customHeight="1" x14ac:dyDescent="0.3">
      <c r="B1365" s="27" t="s">
        <v>297</v>
      </c>
      <c r="C1365" s="44" t="s">
        <v>758</v>
      </c>
      <c r="D1365" s="30"/>
      <c r="E1365" s="30"/>
      <c r="F1365" s="30"/>
      <c r="G1365" s="30"/>
      <c r="H1365" s="30"/>
    </row>
    <row r="1366" spans="1:8" ht="18" customHeight="1" x14ac:dyDescent="0.3">
      <c r="B1366" s="27" t="s">
        <v>298</v>
      </c>
      <c r="C1366" s="44" t="s">
        <v>482</v>
      </c>
      <c r="D1366" s="30"/>
      <c r="E1366" s="30"/>
      <c r="F1366" s="30"/>
      <c r="G1366" s="30"/>
      <c r="H1366" s="30"/>
    </row>
    <row r="1367" spans="1:8" ht="42.9" customHeight="1" x14ac:dyDescent="0.3">
      <c r="B1367" s="27" t="s">
        <v>299</v>
      </c>
      <c r="C1367" s="44" t="s">
        <v>759</v>
      </c>
      <c r="D1367" s="30"/>
      <c r="E1367" s="30"/>
      <c r="F1367" s="30"/>
      <c r="G1367" s="30"/>
      <c r="H1367" s="30"/>
    </row>
    <row r="1368" spans="1:8" ht="18" customHeight="1" x14ac:dyDescent="0.3">
      <c r="B1368" s="27" t="s">
        <v>300</v>
      </c>
      <c r="C1368" s="44" t="s">
        <v>760</v>
      </c>
      <c r="D1368" s="30"/>
      <c r="E1368" s="30"/>
      <c r="F1368" s="30"/>
      <c r="G1368" s="30"/>
      <c r="H1368" s="30"/>
    </row>
    <row r="1369" spans="1:8" ht="30.9" customHeight="1" x14ac:dyDescent="0.3">
      <c r="B1369" s="27" t="s">
        <v>301</v>
      </c>
      <c r="C1369" s="44" t="s">
        <v>761</v>
      </c>
      <c r="D1369" s="30"/>
      <c r="E1369" s="30"/>
      <c r="F1369" s="30"/>
      <c r="G1369" s="30"/>
      <c r="H1369" s="30"/>
    </row>
    <row r="1370" spans="1:8" ht="15.9" customHeight="1" x14ac:dyDescent="0.3">
      <c r="B1370" s="43" t="s">
        <v>285</v>
      </c>
      <c r="C1370" s="30"/>
      <c r="D1370" s="30"/>
      <c r="E1370" s="30"/>
      <c r="F1370" s="30"/>
      <c r="G1370" s="30"/>
      <c r="H1370" s="30"/>
    </row>
    <row r="1371" spans="1:8" ht="18" customHeight="1" x14ac:dyDescent="0.3">
      <c r="B1371" s="27" t="s">
        <v>302</v>
      </c>
      <c r="C1371" s="44" t="s">
        <v>746</v>
      </c>
      <c r="D1371" s="30"/>
      <c r="E1371" s="30"/>
      <c r="F1371" s="30"/>
      <c r="G1371" s="30"/>
      <c r="H1371" s="30"/>
    </row>
    <row r="1372" spans="1:8" ht="18" customHeight="1" x14ac:dyDescent="0.3">
      <c r="B1372" s="27" t="s">
        <v>303</v>
      </c>
      <c r="C1372" s="44" t="s">
        <v>354</v>
      </c>
      <c r="D1372" s="30"/>
      <c r="E1372" s="30"/>
      <c r="F1372" s="30"/>
      <c r="G1372" s="30"/>
      <c r="H1372" s="30"/>
    </row>
    <row r="1373" spans="1:8" ht="18" customHeight="1" x14ac:dyDescent="0.3">
      <c r="B1373" s="27" t="s">
        <v>304</v>
      </c>
      <c r="C1373" s="44" t="s">
        <v>1095</v>
      </c>
      <c r="D1373" s="30"/>
      <c r="E1373" s="30"/>
      <c r="F1373" s="30"/>
      <c r="G1373" s="30"/>
      <c r="H1373" s="30"/>
    </row>
    <row r="1376" spans="1:8" ht="21.9" customHeight="1" x14ac:dyDescent="0.3">
      <c r="A1376" s="45" t="s">
        <v>1143</v>
      </c>
      <c r="B1376" s="30"/>
      <c r="C1376" s="30"/>
      <c r="D1376" s="30"/>
      <c r="E1376" s="30"/>
      <c r="F1376" s="30"/>
      <c r="G1376" s="30"/>
      <c r="H1376" s="30"/>
    </row>
    <row r="1378" spans="2:8" ht="15.9" customHeight="1" x14ac:dyDescent="0.3">
      <c r="B1378" s="43" t="s">
        <v>3</v>
      </c>
      <c r="C1378" s="30"/>
      <c r="D1378" s="30"/>
      <c r="E1378" s="30"/>
      <c r="F1378" s="30"/>
      <c r="G1378" s="30"/>
      <c r="H1378" s="30"/>
    </row>
    <row r="1379" spans="2:8" ht="18" customHeight="1" x14ac:dyDescent="0.3">
      <c r="B1379" s="27" t="s">
        <v>286</v>
      </c>
      <c r="C1379" s="44" t="s">
        <v>762</v>
      </c>
      <c r="D1379" s="30"/>
      <c r="E1379" s="30"/>
      <c r="F1379" s="30"/>
      <c r="G1379" s="30"/>
      <c r="H1379" s="30"/>
    </row>
    <row r="1380" spans="2:8" ht="18" customHeight="1" x14ac:dyDescent="0.3">
      <c r="B1380" s="27" t="s">
        <v>287</v>
      </c>
      <c r="C1380" s="44" t="s">
        <v>763</v>
      </c>
      <c r="D1380" s="30"/>
      <c r="E1380" s="30"/>
      <c r="F1380" s="30"/>
      <c r="G1380" s="30"/>
      <c r="H1380" s="30"/>
    </row>
    <row r="1381" spans="2:8" ht="18" customHeight="1" x14ac:dyDescent="0.3">
      <c r="B1381" s="27" t="s">
        <v>288</v>
      </c>
      <c r="C1381" s="44" t="s">
        <v>169</v>
      </c>
      <c r="D1381" s="30"/>
      <c r="E1381" s="30"/>
      <c r="F1381" s="30"/>
      <c r="G1381" s="30"/>
      <c r="H1381" s="30"/>
    </row>
    <row r="1382" spans="2:8" ht="18" customHeight="1" x14ac:dyDescent="0.3">
      <c r="B1382" s="27" t="s">
        <v>289</v>
      </c>
      <c r="C1382" s="44" t="s">
        <v>1093</v>
      </c>
      <c r="D1382" s="30"/>
      <c r="E1382" s="30"/>
      <c r="F1382" s="30"/>
      <c r="G1382" s="30"/>
      <c r="H1382" s="30"/>
    </row>
    <row r="1383" spans="2:8" ht="18" customHeight="1" x14ac:dyDescent="0.3">
      <c r="B1383" s="27" t="s">
        <v>290</v>
      </c>
      <c r="C1383" s="44" t="s">
        <v>166</v>
      </c>
      <c r="D1383" s="30"/>
      <c r="E1383" s="30"/>
      <c r="F1383" s="30"/>
      <c r="G1383" s="30"/>
      <c r="H1383" s="30"/>
    </row>
    <row r="1384" spans="2:8" ht="15.9" customHeight="1" x14ac:dyDescent="0.3">
      <c r="B1384" s="43" t="s">
        <v>282</v>
      </c>
      <c r="C1384" s="30"/>
      <c r="D1384" s="30"/>
      <c r="E1384" s="30"/>
      <c r="F1384" s="30"/>
      <c r="G1384" s="30"/>
      <c r="H1384" s="30"/>
    </row>
    <row r="1385" spans="2:8" ht="30.9" customHeight="1" x14ac:dyDescent="0.3">
      <c r="B1385" s="27" t="s">
        <v>291</v>
      </c>
      <c r="C1385" s="44" t="s">
        <v>764</v>
      </c>
      <c r="D1385" s="30"/>
      <c r="E1385" s="30"/>
      <c r="F1385" s="30"/>
      <c r="G1385" s="30"/>
      <c r="H1385" s="30"/>
    </row>
    <row r="1386" spans="2:8" ht="18" customHeight="1" x14ac:dyDescent="0.3">
      <c r="B1386" s="27" t="s">
        <v>292</v>
      </c>
      <c r="C1386" s="44" t="s">
        <v>682</v>
      </c>
      <c r="D1386" s="30"/>
      <c r="E1386" s="30"/>
      <c r="F1386" s="30"/>
      <c r="G1386" s="30"/>
      <c r="H1386" s="30"/>
    </row>
    <row r="1387" spans="2:8" ht="30.9" customHeight="1" x14ac:dyDescent="0.3">
      <c r="B1387" s="27" t="s">
        <v>293</v>
      </c>
      <c r="C1387" s="44" t="s">
        <v>765</v>
      </c>
      <c r="D1387" s="30"/>
      <c r="E1387" s="30"/>
      <c r="F1387" s="30"/>
      <c r="G1387" s="30"/>
      <c r="H1387" s="30"/>
    </row>
    <row r="1388" spans="2:8" ht="15.9" customHeight="1" x14ac:dyDescent="0.3">
      <c r="B1388" s="43" t="s">
        <v>283</v>
      </c>
      <c r="C1388" s="30"/>
      <c r="D1388" s="30"/>
      <c r="E1388" s="30"/>
      <c r="F1388" s="30"/>
      <c r="G1388" s="30"/>
      <c r="H1388" s="30"/>
    </row>
    <row r="1389" spans="2:8" ht="18" customHeight="1" x14ac:dyDescent="0.3">
      <c r="B1389" s="27" t="s">
        <v>294</v>
      </c>
      <c r="C1389" s="44" t="s">
        <v>308</v>
      </c>
      <c r="D1389" s="30"/>
      <c r="E1389" s="30"/>
      <c r="F1389" s="30"/>
      <c r="G1389" s="30"/>
      <c r="H1389" s="30"/>
    </row>
    <row r="1390" spans="2:8" ht="18" customHeight="1" x14ac:dyDescent="0.3">
      <c r="B1390" s="27" t="s">
        <v>295</v>
      </c>
      <c r="C1390" s="44" t="s">
        <v>309</v>
      </c>
      <c r="D1390" s="30"/>
      <c r="E1390" s="30"/>
      <c r="F1390" s="30"/>
      <c r="G1390" s="30"/>
      <c r="H1390" s="30"/>
    </row>
    <row r="1391" spans="2:8" ht="18" customHeight="1" x14ac:dyDescent="0.3">
      <c r="B1391" s="27" t="s">
        <v>296</v>
      </c>
      <c r="C1391" s="44" t="s">
        <v>310</v>
      </c>
      <c r="D1391" s="30"/>
      <c r="E1391" s="30"/>
      <c r="F1391" s="30"/>
      <c r="G1391" s="30"/>
      <c r="H1391" s="30"/>
    </row>
    <row r="1392" spans="2:8" ht="15.9" customHeight="1" x14ac:dyDescent="0.3">
      <c r="B1392" s="43" t="s">
        <v>284</v>
      </c>
      <c r="C1392" s="30"/>
      <c r="D1392" s="30"/>
      <c r="E1392" s="30"/>
      <c r="F1392" s="30"/>
      <c r="G1392" s="30"/>
      <c r="H1392" s="30"/>
    </row>
    <row r="1393" spans="1:8" ht="18" customHeight="1" x14ac:dyDescent="0.3">
      <c r="B1393" s="27" t="s">
        <v>297</v>
      </c>
      <c r="C1393" s="44" t="s">
        <v>684</v>
      </c>
      <c r="D1393" s="30"/>
      <c r="E1393" s="30"/>
      <c r="F1393" s="30"/>
      <c r="G1393" s="30"/>
      <c r="H1393" s="30"/>
    </row>
    <row r="1394" spans="1:8" ht="18" customHeight="1" x14ac:dyDescent="0.3">
      <c r="B1394" s="27" t="s">
        <v>298</v>
      </c>
      <c r="C1394" s="44" t="s">
        <v>766</v>
      </c>
      <c r="D1394" s="30"/>
      <c r="E1394" s="30"/>
      <c r="F1394" s="30"/>
      <c r="G1394" s="30"/>
      <c r="H1394" s="30"/>
    </row>
    <row r="1395" spans="1:8" ht="42.9" customHeight="1" x14ac:dyDescent="0.3">
      <c r="B1395" s="27" t="s">
        <v>299</v>
      </c>
      <c r="C1395" s="44" t="s">
        <v>767</v>
      </c>
      <c r="D1395" s="30"/>
      <c r="E1395" s="30"/>
      <c r="F1395" s="30"/>
      <c r="G1395" s="30"/>
      <c r="H1395" s="30"/>
    </row>
    <row r="1396" spans="1:8" ht="18" customHeight="1" x14ac:dyDescent="0.3">
      <c r="B1396" s="27" t="s">
        <v>300</v>
      </c>
      <c r="C1396" s="44" t="s">
        <v>768</v>
      </c>
      <c r="D1396" s="30"/>
      <c r="E1396" s="30"/>
      <c r="F1396" s="30"/>
      <c r="G1396" s="30"/>
      <c r="H1396" s="30"/>
    </row>
    <row r="1397" spans="1:8" ht="30.9" customHeight="1" x14ac:dyDescent="0.3">
      <c r="B1397" s="27" t="s">
        <v>301</v>
      </c>
      <c r="C1397" s="44" t="s">
        <v>769</v>
      </c>
      <c r="D1397" s="30"/>
      <c r="E1397" s="30"/>
      <c r="F1397" s="30"/>
      <c r="G1397" s="30"/>
      <c r="H1397" s="30"/>
    </row>
    <row r="1398" spans="1:8" ht="15.9" customHeight="1" x14ac:dyDescent="0.3">
      <c r="B1398" s="43" t="s">
        <v>285</v>
      </c>
      <c r="C1398" s="30"/>
      <c r="D1398" s="30"/>
      <c r="E1398" s="30"/>
      <c r="F1398" s="30"/>
      <c r="G1398" s="30"/>
      <c r="H1398" s="30"/>
    </row>
    <row r="1399" spans="1:8" ht="18" customHeight="1" x14ac:dyDescent="0.3">
      <c r="B1399" s="27" t="s">
        <v>302</v>
      </c>
      <c r="C1399" s="44" t="s">
        <v>339</v>
      </c>
      <c r="D1399" s="30"/>
      <c r="E1399" s="30"/>
      <c r="F1399" s="30"/>
      <c r="G1399" s="30"/>
      <c r="H1399" s="30"/>
    </row>
    <row r="1400" spans="1:8" ht="18" customHeight="1" x14ac:dyDescent="0.3">
      <c r="B1400" s="27" t="s">
        <v>303</v>
      </c>
      <c r="C1400" s="44" t="s">
        <v>770</v>
      </c>
      <c r="D1400" s="30"/>
      <c r="E1400" s="30"/>
      <c r="F1400" s="30"/>
      <c r="G1400" s="30"/>
      <c r="H1400" s="30"/>
    </row>
    <row r="1401" spans="1:8" ht="18" customHeight="1" x14ac:dyDescent="0.3">
      <c r="B1401" s="27" t="s">
        <v>304</v>
      </c>
      <c r="C1401" s="44" t="s">
        <v>1095</v>
      </c>
      <c r="D1401" s="30"/>
      <c r="E1401" s="30"/>
      <c r="F1401" s="30"/>
      <c r="G1401" s="30"/>
      <c r="H1401" s="30"/>
    </row>
    <row r="1404" spans="1:8" ht="21.9" customHeight="1" x14ac:dyDescent="0.3">
      <c r="A1404" s="45" t="s">
        <v>1144</v>
      </c>
      <c r="B1404" s="30"/>
      <c r="C1404" s="30"/>
      <c r="D1404" s="30"/>
      <c r="E1404" s="30"/>
      <c r="F1404" s="30"/>
      <c r="G1404" s="30"/>
      <c r="H1404" s="30"/>
    </row>
    <row r="1406" spans="1:8" ht="15.9" customHeight="1" x14ac:dyDescent="0.3">
      <c r="B1406" s="43" t="s">
        <v>3</v>
      </c>
      <c r="C1406" s="30"/>
      <c r="D1406" s="30"/>
      <c r="E1406" s="30"/>
      <c r="F1406" s="30"/>
      <c r="G1406" s="30"/>
      <c r="H1406" s="30"/>
    </row>
    <row r="1407" spans="1:8" ht="18" customHeight="1" x14ac:dyDescent="0.3">
      <c r="B1407" s="27" t="s">
        <v>286</v>
      </c>
      <c r="C1407" s="44" t="s">
        <v>770</v>
      </c>
      <c r="D1407" s="30"/>
      <c r="E1407" s="30"/>
      <c r="F1407" s="30"/>
      <c r="G1407" s="30"/>
      <c r="H1407" s="30"/>
    </row>
    <row r="1408" spans="1:8" ht="18" customHeight="1" x14ac:dyDescent="0.3">
      <c r="B1408" s="27" t="s">
        <v>287</v>
      </c>
      <c r="C1408" s="44" t="s">
        <v>771</v>
      </c>
      <c r="D1408" s="30"/>
      <c r="E1408" s="30"/>
      <c r="F1408" s="30"/>
      <c r="G1408" s="30"/>
      <c r="H1408" s="30"/>
    </row>
    <row r="1409" spans="2:8" ht="18" customHeight="1" x14ac:dyDescent="0.3">
      <c r="B1409" s="27" t="s">
        <v>288</v>
      </c>
      <c r="C1409" s="44" t="s">
        <v>169</v>
      </c>
      <c r="D1409" s="30"/>
      <c r="E1409" s="30"/>
      <c r="F1409" s="30"/>
      <c r="G1409" s="30"/>
      <c r="H1409" s="30"/>
    </row>
    <row r="1410" spans="2:8" ht="18" customHeight="1" x14ac:dyDescent="0.3">
      <c r="B1410" s="27" t="s">
        <v>289</v>
      </c>
      <c r="C1410" s="44" t="s">
        <v>1093</v>
      </c>
      <c r="D1410" s="30"/>
      <c r="E1410" s="30"/>
      <c r="F1410" s="30"/>
      <c r="G1410" s="30"/>
      <c r="H1410" s="30"/>
    </row>
    <row r="1411" spans="2:8" ht="18" customHeight="1" x14ac:dyDescent="0.3">
      <c r="B1411" s="27" t="s">
        <v>290</v>
      </c>
      <c r="C1411" s="44" t="s">
        <v>166</v>
      </c>
      <c r="D1411" s="30"/>
      <c r="E1411" s="30"/>
      <c r="F1411" s="30"/>
      <c r="G1411" s="30"/>
      <c r="H1411" s="30"/>
    </row>
    <row r="1412" spans="2:8" ht="15.9" customHeight="1" x14ac:dyDescent="0.3">
      <c r="B1412" s="43" t="s">
        <v>282</v>
      </c>
      <c r="C1412" s="30"/>
      <c r="D1412" s="30"/>
      <c r="E1412" s="30"/>
      <c r="F1412" s="30"/>
      <c r="G1412" s="30"/>
      <c r="H1412" s="30"/>
    </row>
    <row r="1413" spans="2:8" ht="44.1" customHeight="1" x14ac:dyDescent="0.3">
      <c r="B1413" s="27" t="s">
        <v>291</v>
      </c>
      <c r="C1413" s="44" t="s">
        <v>772</v>
      </c>
      <c r="D1413" s="30"/>
      <c r="E1413" s="30"/>
      <c r="F1413" s="30"/>
      <c r="G1413" s="30"/>
      <c r="H1413" s="30"/>
    </row>
    <row r="1414" spans="2:8" ht="18" customHeight="1" x14ac:dyDescent="0.3">
      <c r="B1414" s="27" t="s">
        <v>292</v>
      </c>
      <c r="C1414" s="44" t="s">
        <v>682</v>
      </c>
      <c r="D1414" s="30"/>
      <c r="E1414" s="30"/>
      <c r="F1414" s="30"/>
      <c r="G1414" s="30"/>
      <c r="H1414" s="30"/>
    </row>
    <row r="1415" spans="2:8" ht="44.1" customHeight="1" x14ac:dyDescent="0.3">
      <c r="B1415" s="27" t="s">
        <v>293</v>
      </c>
      <c r="C1415" s="44" t="s">
        <v>773</v>
      </c>
      <c r="D1415" s="30"/>
      <c r="E1415" s="30"/>
      <c r="F1415" s="30"/>
      <c r="G1415" s="30"/>
      <c r="H1415" s="30"/>
    </row>
    <row r="1416" spans="2:8" ht="15.9" customHeight="1" x14ac:dyDescent="0.3">
      <c r="B1416" s="43" t="s">
        <v>283</v>
      </c>
      <c r="C1416" s="30"/>
      <c r="D1416" s="30"/>
      <c r="E1416" s="30"/>
      <c r="F1416" s="30"/>
      <c r="G1416" s="30"/>
      <c r="H1416" s="30"/>
    </row>
    <row r="1417" spans="2:8" ht="18" customHeight="1" x14ac:dyDescent="0.3">
      <c r="B1417" s="27" t="s">
        <v>294</v>
      </c>
      <c r="C1417" s="44" t="s">
        <v>308</v>
      </c>
      <c r="D1417" s="30"/>
      <c r="E1417" s="30"/>
      <c r="F1417" s="30"/>
      <c r="G1417" s="30"/>
      <c r="H1417" s="30"/>
    </row>
    <row r="1418" spans="2:8" ht="18" customHeight="1" x14ac:dyDescent="0.3">
      <c r="B1418" s="27" t="s">
        <v>295</v>
      </c>
      <c r="C1418" s="44" t="s">
        <v>309</v>
      </c>
      <c r="D1418" s="30"/>
      <c r="E1418" s="30"/>
      <c r="F1418" s="30"/>
      <c r="G1418" s="30"/>
      <c r="H1418" s="30"/>
    </row>
    <row r="1419" spans="2:8" ht="18" customHeight="1" x14ac:dyDescent="0.3">
      <c r="B1419" s="27" t="s">
        <v>296</v>
      </c>
      <c r="C1419" s="44" t="s">
        <v>509</v>
      </c>
      <c r="D1419" s="30"/>
      <c r="E1419" s="30"/>
      <c r="F1419" s="30"/>
      <c r="G1419" s="30"/>
      <c r="H1419" s="30"/>
    </row>
    <row r="1420" spans="2:8" ht="15.9" customHeight="1" x14ac:dyDescent="0.3">
      <c r="B1420" s="43" t="s">
        <v>284</v>
      </c>
      <c r="C1420" s="30"/>
      <c r="D1420" s="30"/>
      <c r="E1420" s="30"/>
      <c r="F1420" s="30"/>
      <c r="G1420" s="30"/>
      <c r="H1420" s="30"/>
    </row>
    <row r="1421" spans="2:8" ht="18" customHeight="1" x14ac:dyDescent="0.3">
      <c r="B1421" s="27" t="s">
        <v>297</v>
      </c>
      <c r="C1421" s="44" t="s">
        <v>774</v>
      </c>
      <c r="D1421" s="30"/>
      <c r="E1421" s="30"/>
      <c r="F1421" s="30"/>
      <c r="G1421" s="30"/>
      <c r="H1421" s="30"/>
    </row>
    <row r="1422" spans="2:8" ht="18" customHeight="1" x14ac:dyDescent="0.3">
      <c r="B1422" s="27" t="s">
        <v>298</v>
      </c>
      <c r="C1422" s="44" t="s">
        <v>511</v>
      </c>
      <c r="D1422" s="30"/>
      <c r="E1422" s="30"/>
      <c r="F1422" s="30"/>
      <c r="G1422" s="30"/>
      <c r="H1422" s="30"/>
    </row>
    <row r="1423" spans="2:8" ht="42.9" customHeight="1" x14ac:dyDescent="0.3">
      <c r="B1423" s="27" t="s">
        <v>299</v>
      </c>
      <c r="C1423" s="44" t="s">
        <v>775</v>
      </c>
      <c r="D1423" s="30"/>
      <c r="E1423" s="30"/>
      <c r="F1423" s="30"/>
      <c r="G1423" s="30"/>
      <c r="H1423" s="30"/>
    </row>
    <row r="1424" spans="2:8" ht="30.9" customHeight="1" x14ac:dyDescent="0.3">
      <c r="B1424" s="27" t="s">
        <v>300</v>
      </c>
      <c r="C1424" s="44" t="s">
        <v>776</v>
      </c>
      <c r="D1424" s="30"/>
      <c r="E1424" s="30"/>
      <c r="F1424" s="30"/>
      <c r="G1424" s="30"/>
      <c r="H1424" s="30"/>
    </row>
    <row r="1425" spans="1:8" ht="30.9" customHeight="1" x14ac:dyDescent="0.3">
      <c r="B1425" s="27" t="s">
        <v>301</v>
      </c>
      <c r="C1425" s="44" t="s">
        <v>777</v>
      </c>
      <c r="D1425" s="30"/>
      <c r="E1425" s="30"/>
      <c r="F1425" s="30"/>
      <c r="G1425" s="30"/>
      <c r="H1425" s="30"/>
    </row>
    <row r="1426" spans="1:8" ht="15.9" customHeight="1" x14ac:dyDescent="0.3">
      <c r="B1426" s="43" t="s">
        <v>285</v>
      </c>
      <c r="C1426" s="30"/>
      <c r="D1426" s="30"/>
      <c r="E1426" s="30"/>
      <c r="F1426" s="30"/>
      <c r="G1426" s="30"/>
      <c r="H1426" s="30"/>
    </row>
    <row r="1427" spans="1:8" ht="18" customHeight="1" x14ac:dyDescent="0.3">
      <c r="B1427" s="27" t="s">
        <v>302</v>
      </c>
      <c r="C1427" s="44" t="s">
        <v>762</v>
      </c>
      <c r="D1427" s="30"/>
      <c r="E1427" s="30"/>
      <c r="F1427" s="30"/>
      <c r="G1427" s="30"/>
      <c r="H1427" s="30"/>
    </row>
    <row r="1428" spans="1:8" ht="18" customHeight="1" x14ac:dyDescent="0.3">
      <c r="B1428" s="27" t="s">
        <v>303</v>
      </c>
      <c r="C1428" s="44" t="s">
        <v>354</v>
      </c>
      <c r="D1428" s="30"/>
      <c r="E1428" s="30"/>
      <c r="F1428" s="30"/>
      <c r="G1428" s="30"/>
      <c r="H1428" s="30"/>
    </row>
    <row r="1429" spans="1:8" ht="18" customHeight="1" x14ac:dyDescent="0.3">
      <c r="B1429" s="27" t="s">
        <v>304</v>
      </c>
      <c r="C1429" s="44" t="s">
        <v>778</v>
      </c>
      <c r="D1429" s="30"/>
      <c r="E1429" s="30"/>
      <c r="F1429" s="30"/>
      <c r="G1429" s="30"/>
      <c r="H1429" s="30"/>
    </row>
    <row r="1432" spans="1:8" ht="21.9" customHeight="1" x14ac:dyDescent="0.3">
      <c r="A1432" s="45" t="s">
        <v>1145</v>
      </c>
      <c r="B1432" s="30"/>
      <c r="C1432" s="30"/>
      <c r="D1432" s="30"/>
      <c r="E1432" s="30"/>
      <c r="F1432" s="30"/>
      <c r="G1432" s="30"/>
      <c r="H1432" s="30"/>
    </row>
    <row r="1434" spans="1:8" ht="15.9" customHeight="1" x14ac:dyDescent="0.3">
      <c r="B1434" s="43" t="s">
        <v>3</v>
      </c>
      <c r="C1434" s="30"/>
      <c r="D1434" s="30"/>
      <c r="E1434" s="30"/>
      <c r="F1434" s="30"/>
      <c r="G1434" s="30"/>
      <c r="H1434" s="30"/>
    </row>
    <row r="1435" spans="1:8" ht="18" customHeight="1" x14ac:dyDescent="0.3">
      <c r="B1435" s="27" t="s">
        <v>286</v>
      </c>
      <c r="C1435" s="44" t="s">
        <v>779</v>
      </c>
      <c r="D1435" s="30"/>
      <c r="E1435" s="30"/>
      <c r="F1435" s="30"/>
      <c r="G1435" s="30"/>
      <c r="H1435" s="30"/>
    </row>
    <row r="1436" spans="1:8" ht="18" customHeight="1" x14ac:dyDescent="0.3">
      <c r="B1436" s="27" t="s">
        <v>287</v>
      </c>
      <c r="C1436" s="44" t="s">
        <v>780</v>
      </c>
      <c r="D1436" s="30"/>
      <c r="E1436" s="30"/>
      <c r="F1436" s="30"/>
      <c r="G1436" s="30"/>
      <c r="H1436" s="30"/>
    </row>
    <row r="1437" spans="1:8" ht="18" customHeight="1" x14ac:dyDescent="0.3">
      <c r="B1437" s="27" t="s">
        <v>288</v>
      </c>
      <c r="C1437" s="44" t="s">
        <v>169</v>
      </c>
      <c r="D1437" s="30"/>
      <c r="E1437" s="30"/>
      <c r="F1437" s="30"/>
      <c r="G1437" s="30"/>
      <c r="H1437" s="30"/>
    </row>
    <row r="1438" spans="1:8" ht="18" customHeight="1" x14ac:dyDescent="0.3">
      <c r="B1438" s="27" t="s">
        <v>289</v>
      </c>
      <c r="C1438" s="44" t="s">
        <v>1093</v>
      </c>
      <c r="D1438" s="30"/>
      <c r="E1438" s="30"/>
      <c r="F1438" s="30"/>
      <c r="G1438" s="30"/>
      <c r="H1438" s="30"/>
    </row>
    <row r="1439" spans="1:8" ht="18" customHeight="1" x14ac:dyDescent="0.3">
      <c r="B1439" s="27" t="s">
        <v>290</v>
      </c>
      <c r="C1439" s="44" t="s">
        <v>166</v>
      </c>
      <c r="D1439" s="30"/>
      <c r="E1439" s="30"/>
      <c r="F1439" s="30"/>
      <c r="G1439" s="30"/>
      <c r="H1439" s="30"/>
    </row>
    <row r="1440" spans="1:8" ht="15.9" customHeight="1" x14ac:dyDescent="0.3">
      <c r="B1440" s="43" t="s">
        <v>282</v>
      </c>
      <c r="C1440" s="30"/>
      <c r="D1440" s="30"/>
      <c r="E1440" s="30"/>
      <c r="F1440" s="30"/>
      <c r="G1440" s="30"/>
      <c r="H1440" s="30"/>
    </row>
    <row r="1441" spans="2:8" ht="18" customHeight="1" x14ac:dyDescent="0.3">
      <c r="B1441" s="27" t="s">
        <v>291</v>
      </c>
      <c r="C1441" s="44" t="s">
        <v>781</v>
      </c>
      <c r="D1441" s="30"/>
      <c r="E1441" s="30"/>
      <c r="F1441" s="30"/>
      <c r="G1441" s="30"/>
      <c r="H1441" s="30"/>
    </row>
    <row r="1442" spans="2:8" ht="18" customHeight="1" x14ac:dyDescent="0.3">
      <c r="B1442" s="27" t="s">
        <v>292</v>
      </c>
      <c r="C1442" s="44" t="s">
        <v>782</v>
      </c>
      <c r="D1442" s="30"/>
      <c r="E1442" s="30"/>
      <c r="F1442" s="30"/>
      <c r="G1442" s="30"/>
      <c r="H1442" s="30"/>
    </row>
    <row r="1443" spans="2:8" ht="30.9" customHeight="1" x14ac:dyDescent="0.3">
      <c r="B1443" s="27" t="s">
        <v>293</v>
      </c>
      <c r="C1443" s="44" t="s">
        <v>783</v>
      </c>
      <c r="D1443" s="30"/>
      <c r="E1443" s="30"/>
      <c r="F1443" s="30"/>
      <c r="G1443" s="30"/>
      <c r="H1443" s="30"/>
    </row>
    <row r="1444" spans="2:8" ht="15.9" customHeight="1" x14ac:dyDescent="0.3">
      <c r="B1444" s="43" t="s">
        <v>283</v>
      </c>
      <c r="C1444" s="30"/>
      <c r="D1444" s="30"/>
      <c r="E1444" s="30"/>
      <c r="F1444" s="30"/>
      <c r="G1444" s="30"/>
      <c r="H1444" s="30"/>
    </row>
    <row r="1445" spans="2:8" ht="18" customHeight="1" x14ac:dyDescent="0.3">
      <c r="B1445" s="27" t="s">
        <v>294</v>
      </c>
      <c r="C1445" s="44" t="s">
        <v>347</v>
      </c>
      <c r="D1445" s="30"/>
      <c r="E1445" s="30"/>
      <c r="F1445" s="30"/>
      <c r="G1445" s="30"/>
      <c r="H1445" s="30"/>
    </row>
    <row r="1446" spans="2:8" ht="18" customHeight="1" x14ac:dyDescent="0.3">
      <c r="B1446" s="27" t="s">
        <v>295</v>
      </c>
      <c r="C1446" s="44" t="s">
        <v>348</v>
      </c>
      <c r="D1446" s="30"/>
      <c r="E1446" s="30"/>
      <c r="F1446" s="30"/>
      <c r="G1446" s="30"/>
      <c r="H1446" s="30"/>
    </row>
    <row r="1447" spans="2:8" ht="18" customHeight="1" x14ac:dyDescent="0.3">
      <c r="B1447" s="27" t="s">
        <v>296</v>
      </c>
      <c r="C1447" s="44" t="s">
        <v>310</v>
      </c>
      <c r="D1447" s="30"/>
      <c r="E1447" s="30"/>
      <c r="F1447" s="30"/>
      <c r="G1447" s="30"/>
      <c r="H1447" s="30"/>
    </row>
    <row r="1448" spans="2:8" ht="15.9" customHeight="1" x14ac:dyDescent="0.3">
      <c r="B1448" s="43" t="s">
        <v>284</v>
      </c>
      <c r="C1448" s="30"/>
      <c r="D1448" s="30"/>
      <c r="E1448" s="30"/>
      <c r="F1448" s="30"/>
      <c r="G1448" s="30"/>
      <c r="H1448" s="30"/>
    </row>
    <row r="1449" spans="2:8" ht="18" customHeight="1" x14ac:dyDescent="0.3">
      <c r="B1449" s="27" t="s">
        <v>297</v>
      </c>
      <c r="C1449" s="44" t="s">
        <v>359</v>
      </c>
      <c r="D1449" s="30"/>
      <c r="E1449" s="30"/>
      <c r="F1449" s="30"/>
      <c r="G1449" s="30"/>
      <c r="H1449" s="30"/>
    </row>
    <row r="1450" spans="2:8" ht="18" customHeight="1" x14ac:dyDescent="0.3">
      <c r="B1450" s="27" t="s">
        <v>298</v>
      </c>
      <c r="C1450" s="44" t="s">
        <v>784</v>
      </c>
      <c r="D1450" s="30"/>
      <c r="E1450" s="30"/>
      <c r="F1450" s="30"/>
      <c r="G1450" s="30"/>
      <c r="H1450" s="30"/>
    </row>
    <row r="1451" spans="2:8" ht="42.9" customHeight="1" x14ac:dyDescent="0.3">
      <c r="B1451" s="27" t="s">
        <v>299</v>
      </c>
      <c r="C1451" s="44" t="s">
        <v>785</v>
      </c>
      <c r="D1451" s="30"/>
      <c r="E1451" s="30"/>
      <c r="F1451" s="30"/>
      <c r="G1451" s="30"/>
      <c r="H1451" s="30"/>
    </row>
    <row r="1452" spans="2:8" ht="30.9" customHeight="1" x14ac:dyDescent="0.3">
      <c r="B1452" s="27" t="s">
        <v>300</v>
      </c>
      <c r="C1452" s="44" t="s">
        <v>786</v>
      </c>
      <c r="D1452" s="30"/>
      <c r="E1452" s="30"/>
      <c r="F1452" s="30"/>
      <c r="G1452" s="30"/>
      <c r="H1452" s="30"/>
    </row>
    <row r="1453" spans="2:8" ht="30.9" customHeight="1" x14ac:dyDescent="0.3">
      <c r="B1453" s="27" t="s">
        <v>301</v>
      </c>
      <c r="C1453" s="44" t="s">
        <v>787</v>
      </c>
      <c r="D1453" s="30"/>
      <c r="E1453" s="30"/>
      <c r="F1453" s="30"/>
      <c r="G1453" s="30"/>
      <c r="H1453" s="30"/>
    </row>
    <row r="1454" spans="2:8" ht="15.9" customHeight="1" x14ac:dyDescent="0.3">
      <c r="B1454" s="43" t="s">
        <v>285</v>
      </c>
      <c r="C1454" s="30"/>
      <c r="D1454" s="30"/>
      <c r="E1454" s="30"/>
      <c r="F1454" s="30"/>
      <c r="G1454" s="30"/>
      <c r="H1454" s="30"/>
    </row>
    <row r="1455" spans="2:8" ht="18" customHeight="1" x14ac:dyDescent="0.3">
      <c r="B1455" s="27" t="s">
        <v>302</v>
      </c>
      <c r="C1455" s="44" t="s">
        <v>339</v>
      </c>
      <c r="D1455" s="30"/>
      <c r="E1455" s="30"/>
      <c r="F1455" s="30"/>
      <c r="G1455" s="30"/>
      <c r="H1455" s="30"/>
    </row>
    <row r="1456" spans="2:8" ht="18" customHeight="1" x14ac:dyDescent="0.3">
      <c r="B1456" s="27" t="s">
        <v>303</v>
      </c>
      <c r="C1456" s="44" t="s">
        <v>788</v>
      </c>
      <c r="D1456" s="30"/>
      <c r="E1456" s="30"/>
      <c r="F1456" s="30"/>
      <c r="G1456" s="30"/>
      <c r="H1456" s="30"/>
    </row>
    <row r="1457" spans="1:8" ht="18" customHeight="1" x14ac:dyDescent="0.3">
      <c r="B1457" s="27" t="s">
        <v>304</v>
      </c>
      <c r="C1457" s="44" t="s">
        <v>1095</v>
      </c>
      <c r="D1457" s="30"/>
      <c r="E1457" s="30"/>
      <c r="F1457" s="30"/>
      <c r="G1457" s="30"/>
      <c r="H1457" s="30"/>
    </row>
    <row r="1460" spans="1:8" ht="21.9" customHeight="1" x14ac:dyDescent="0.3">
      <c r="A1460" s="45" t="s">
        <v>1146</v>
      </c>
      <c r="B1460" s="30"/>
      <c r="C1460" s="30"/>
      <c r="D1460" s="30"/>
      <c r="E1460" s="30"/>
      <c r="F1460" s="30"/>
      <c r="G1460" s="30"/>
      <c r="H1460" s="30"/>
    </row>
    <row r="1462" spans="1:8" ht="15.9" customHeight="1" x14ac:dyDescent="0.3">
      <c r="B1462" s="43" t="s">
        <v>3</v>
      </c>
      <c r="C1462" s="30"/>
      <c r="D1462" s="30"/>
      <c r="E1462" s="30"/>
      <c r="F1462" s="30"/>
      <c r="G1462" s="30"/>
      <c r="H1462" s="30"/>
    </row>
    <row r="1463" spans="1:8" ht="18" customHeight="1" x14ac:dyDescent="0.3">
      <c r="B1463" s="27" t="s">
        <v>286</v>
      </c>
      <c r="C1463" s="44" t="s">
        <v>788</v>
      </c>
      <c r="D1463" s="30"/>
      <c r="E1463" s="30"/>
      <c r="F1463" s="30"/>
      <c r="G1463" s="30"/>
      <c r="H1463" s="30"/>
    </row>
    <row r="1464" spans="1:8" ht="18" customHeight="1" x14ac:dyDescent="0.3">
      <c r="B1464" s="27" t="s">
        <v>287</v>
      </c>
      <c r="C1464" s="44" t="s">
        <v>789</v>
      </c>
      <c r="D1464" s="30"/>
      <c r="E1464" s="30"/>
      <c r="F1464" s="30"/>
      <c r="G1464" s="30"/>
      <c r="H1464" s="30"/>
    </row>
    <row r="1465" spans="1:8" ht="18" customHeight="1" x14ac:dyDescent="0.3">
      <c r="B1465" s="27" t="s">
        <v>288</v>
      </c>
      <c r="C1465" s="44" t="s">
        <v>169</v>
      </c>
      <c r="D1465" s="30"/>
      <c r="E1465" s="30"/>
      <c r="F1465" s="30"/>
      <c r="G1465" s="30"/>
      <c r="H1465" s="30"/>
    </row>
    <row r="1466" spans="1:8" ht="18" customHeight="1" x14ac:dyDescent="0.3">
      <c r="B1466" s="27" t="s">
        <v>289</v>
      </c>
      <c r="C1466" s="44" t="s">
        <v>1093</v>
      </c>
      <c r="D1466" s="30"/>
      <c r="E1466" s="30"/>
      <c r="F1466" s="30"/>
      <c r="G1466" s="30"/>
      <c r="H1466" s="30"/>
    </row>
    <row r="1467" spans="1:8" ht="18" customHeight="1" x14ac:dyDescent="0.3">
      <c r="B1467" s="27" t="s">
        <v>290</v>
      </c>
      <c r="C1467" s="44" t="s">
        <v>166</v>
      </c>
      <c r="D1467" s="30"/>
      <c r="E1467" s="30"/>
      <c r="F1467" s="30"/>
      <c r="G1467" s="30"/>
      <c r="H1467" s="30"/>
    </row>
    <row r="1468" spans="1:8" ht="15.9" customHeight="1" x14ac:dyDescent="0.3">
      <c r="B1468" s="43" t="s">
        <v>282</v>
      </c>
      <c r="C1468" s="30"/>
      <c r="D1468" s="30"/>
      <c r="E1468" s="30"/>
      <c r="F1468" s="30"/>
      <c r="G1468" s="30"/>
      <c r="H1468" s="30"/>
    </row>
    <row r="1469" spans="1:8" ht="30.9" customHeight="1" x14ac:dyDescent="0.3">
      <c r="B1469" s="27" t="s">
        <v>291</v>
      </c>
      <c r="C1469" s="44" t="s">
        <v>790</v>
      </c>
      <c r="D1469" s="30"/>
      <c r="E1469" s="30"/>
      <c r="F1469" s="30"/>
      <c r="G1469" s="30"/>
      <c r="H1469" s="30"/>
    </row>
    <row r="1470" spans="1:8" ht="18" customHeight="1" x14ac:dyDescent="0.3">
      <c r="B1470" s="27" t="s">
        <v>292</v>
      </c>
      <c r="C1470" s="44" t="s">
        <v>791</v>
      </c>
      <c r="D1470" s="30"/>
      <c r="E1470" s="30"/>
      <c r="F1470" s="30"/>
      <c r="G1470" s="30"/>
      <c r="H1470" s="30"/>
    </row>
    <row r="1471" spans="1:8" ht="18" customHeight="1" x14ac:dyDescent="0.3">
      <c r="B1471" s="27" t="s">
        <v>293</v>
      </c>
      <c r="C1471" s="44" t="s">
        <v>792</v>
      </c>
      <c r="D1471" s="30"/>
      <c r="E1471" s="30"/>
      <c r="F1471" s="30"/>
      <c r="G1471" s="30"/>
      <c r="H1471" s="30"/>
    </row>
    <row r="1472" spans="1:8" ht="15.9" customHeight="1" x14ac:dyDescent="0.3">
      <c r="B1472" s="43" t="s">
        <v>283</v>
      </c>
      <c r="C1472" s="30"/>
      <c r="D1472" s="30"/>
      <c r="E1472" s="30"/>
      <c r="F1472" s="30"/>
      <c r="G1472" s="30"/>
      <c r="H1472" s="30"/>
    </row>
    <row r="1473" spans="2:8" ht="18" customHeight="1" x14ac:dyDescent="0.3">
      <c r="B1473" s="27" t="s">
        <v>294</v>
      </c>
      <c r="C1473" s="44" t="s">
        <v>347</v>
      </c>
      <c r="D1473" s="30"/>
      <c r="E1473" s="30"/>
      <c r="F1473" s="30"/>
      <c r="G1473" s="30"/>
      <c r="H1473" s="30"/>
    </row>
    <row r="1474" spans="2:8" ht="18" customHeight="1" x14ac:dyDescent="0.3">
      <c r="B1474" s="27" t="s">
        <v>295</v>
      </c>
      <c r="C1474" s="44" t="s">
        <v>348</v>
      </c>
      <c r="D1474" s="30"/>
      <c r="E1474" s="30"/>
      <c r="F1474" s="30"/>
      <c r="G1474" s="30"/>
      <c r="H1474" s="30"/>
    </row>
    <row r="1475" spans="2:8" ht="18" customHeight="1" x14ac:dyDescent="0.3">
      <c r="B1475" s="27" t="s">
        <v>296</v>
      </c>
      <c r="C1475" s="44" t="s">
        <v>310</v>
      </c>
      <c r="D1475" s="30"/>
      <c r="E1475" s="30"/>
      <c r="F1475" s="30"/>
      <c r="G1475" s="30"/>
      <c r="H1475" s="30"/>
    </row>
    <row r="1476" spans="2:8" ht="15.9" customHeight="1" x14ac:dyDescent="0.3">
      <c r="B1476" s="43" t="s">
        <v>284</v>
      </c>
      <c r="C1476" s="30"/>
      <c r="D1476" s="30"/>
      <c r="E1476" s="30"/>
      <c r="F1476" s="30"/>
      <c r="G1476" s="30"/>
      <c r="H1476" s="30"/>
    </row>
    <row r="1477" spans="2:8" ht="18" customHeight="1" x14ac:dyDescent="0.3">
      <c r="B1477" s="27" t="s">
        <v>297</v>
      </c>
      <c r="C1477" s="44" t="s">
        <v>793</v>
      </c>
      <c r="D1477" s="30"/>
      <c r="E1477" s="30"/>
      <c r="F1477" s="30"/>
      <c r="G1477" s="30"/>
      <c r="H1477" s="30"/>
    </row>
    <row r="1478" spans="2:8" ht="18" customHeight="1" x14ac:dyDescent="0.3">
      <c r="B1478" s="27" t="s">
        <v>298</v>
      </c>
      <c r="C1478" s="44" t="s">
        <v>794</v>
      </c>
      <c r="D1478" s="30"/>
      <c r="E1478" s="30"/>
      <c r="F1478" s="30"/>
      <c r="G1478" s="30"/>
      <c r="H1478" s="30"/>
    </row>
    <row r="1479" spans="2:8" ht="56.1" customHeight="1" x14ac:dyDescent="0.3">
      <c r="B1479" s="27" t="s">
        <v>299</v>
      </c>
      <c r="C1479" s="44" t="s">
        <v>795</v>
      </c>
      <c r="D1479" s="30"/>
      <c r="E1479" s="30"/>
      <c r="F1479" s="30"/>
      <c r="G1479" s="30"/>
      <c r="H1479" s="30"/>
    </row>
    <row r="1480" spans="2:8" ht="18" customHeight="1" x14ac:dyDescent="0.3">
      <c r="B1480" s="27" t="s">
        <v>300</v>
      </c>
      <c r="C1480" s="44" t="s">
        <v>796</v>
      </c>
      <c r="D1480" s="30"/>
      <c r="E1480" s="30"/>
      <c r="F1480" s="30"/>
      <c r="G1480" s="30"/>
      <c r="H1480" s="30"/>
    </row>
    <row r="1481" spans="2:8" ht="30.9" customHeight="1" x14ac:dyDescent="0.3">
      <c r="B1481" s="27" t="s">
        <v>301</v>
      </c>
      <c r="C1481" s="44" t="s">
        <v>797</v>
      </c>
      <c r="D1481" s="30"/>
      <c r="E1481" s="30"/>
      <c r="F1481" s="30"/>
      <c r="G1481" s="30"/>
      <c r="H1481" s="30"/>
    </row>
    <row r="1482" spans="2:8" ht="15.9" customHeight="1" x14ac:dyDescent="0.3">
      <c r="B1482" s="43" t="s">
        <v>285</v>
      </c>
      <c r="C1482" s="30"/>
      <c r="D1482" s="30"/>
      <c r="E1482" s="30"/>
      <c r="F1482" s="30"/>
      <c r="G1482" s="30"/>
      <c r="H1482" s="30"/>
    </row>
    <row r="1483" spans="2:8" ht="18" customHeight="1" x14ac:dyDescent="0.3">
      <c r="B1483" s="27" t="s">
        <v>302</v>
      </c>
      <c r="C1483" s="44" t="s">
        <v>779</v>
      </c>
      <c r="D1483" s="30"/>
      <c r="E1483" s="30"/>
      <c r="F1483" s="30"/>
      <c r="G1483" s="30"/>
      <c r="H1483" s="30"/>
    </row>
    <row r="1484" spans="2:8" ht="18" customHeight="1" x14ac:dyDescent="0.3">
      <c r="B1484" s="27" t="s">
        <v>303</v>
      </c>
      <c r="C1484" s="44" t="s">
        <v>354</v>
      </c>
      <c r="D1484" s="30"/>
      <c r="E1484" s="30"/>
      <c r="F1484" s="30"/>
      <c r="G1484" s="30"/>
      <c r="H1484" s="30"/>
    </row>
    <row r="1485" spans="2:8" ht="44.1" customHeight="1" x14ac:dyDescent="0.3">
      <c r="B1485" s="27" t="s">
        <v>304</v>
      </c>
      <c r="C1485" s="44" t="s">
        <v>798</v>
      </c>
      <c r="D1485" s="30"/>
      <c r="E1485" s="30"/>
      <c r="F1485" s="30"/>
      <c r="G1485" s="30"/>
      <c r="H1485" s="30"/>
    </row>
  </sheetData>
  <mergeCells count="1325">
    <mergeCell ref="B1462:H1462"/>
    <mergeCell ref="C948:H948"/>
    <mergeCell ref="C923:H923"/>
    <mergeCell ref="C977:H977"/>
    <mergeCell ref="C1284:H1284"/>
    <mergeCell ref="C979:H979"/>
    <mergeCell ref="B734:H734"/>
    <mergeCell ref="C1408:H1408"/>
    <mergeCell ref="C38:H38"/>
    <mergeCell ref="C1279:H1279"/>
    <mergeCell ref="C249:H249"/>
    <mergeCell ref="B1034:H1034"/>
    <mergeCell ref="B1192:H1192"/>
    <mergeCell ref="C363:H363"/>
    <mergeCell ref="C1310:H1310"/>
    <mergeCell ref="C549:H549"/>
    <mergeCell ref="C707:H707"/>
    <mergeCell ref="C663:H663"/>
    <mergeCell ref="C1005:H1005"/>
    <mergeCell ref="C961:H961"/>
    <mergeCell ref="C1312:H1312"/>
    <mergeCell ref="C1295:H1295"/>
    <mergeCell ref="C121:H121"/>
    <mergeCell ref="C1305:H1305"/>
    <mergeCell ref="A60:H60"/>
    <mergeCell ref="B1332:H1332"/>
    <mergeCell ref="C689:H689"/>
    <mergeCell ref="B600:H600"/>
    <mergeCell ref="C122:H122"/>
    <mergeCell ref="C1452:H1452"/>
    <mergeCell ref="C420:H420"/>
    <mergeCell ref="C718:H718"/>
    <mergeCell ref="C989:H989"/>
    <mergeCell ref="C1323:H1323"/>
    <mergeCell ref="C1358:H1358"/>
    <mergeCell ref="C1018:H1018"/>
    <mergeCell ref="C263:H263"/>
    <mergeCell ref="C290:H290"/>
    <mergeCell ref="B958:H958"/>
    <mergeCell ref="C321:H321"/>
    <mergeCell ref="B68:H68"/>
    <mergeCell ref="C1165:H1165"/>
    <mergeCell ref="B1258:H1258"/>
    <mergeCell ref="B76:H76"/>
    <mergeCell ref="C615:H615"/>
    <mergeCell ref="C919:H919"/>
    <mergeCell ref="C949:H949"/>
    <mergeCell ref="C316:H316"/>
    <mergeCell ref="C623:H623"/>
    <mergeCell ref="C921:H921"/>
    <mergeCell ref="C1219:H1219"/>
    <mergeCell ref="C616:H616"/>
    <mergeCell ref="C189:H189"/>
    <mergeCell ref="B244:H244"/>
    <mergeCell ref="B544:H544"/>
    <mergeCell ref="C1089:H1089"/>
    <mergeCell ref="C1387:H1387"/>
    <mergeCell ref="C1441:H1441"/>
    <mergeCell ref="C196:H196"/>
    <mergeCell ref="B1164:H1164"/>
    <mergeCell ref="C29:H29"/>
    <mergeCell ref="C205:H205"/>
    <mergeCell ref="C65:H65"/>
    <mergeCell ref="C336:H336"/>
    <mergeCell ref="B972:H972"/>
    <mergeCell ref="C1091:H1091"/>
    <mergeCell ref="C634:H634"/>
    <mergeCell ref="C1395:H1395"/>
    <mergeCell ref="C792:H792"/>
    <mergeCell ref="C329:H329"/>
    <mergeCell ref="C365:H365"/>
    <mergeCell ref="C1003:H1003"/>
    <mergeCell ref="C1301:H1301"/>
    <mergeCell ref="A452:H452"/>
    <mergeCell ref="C1092:H1092"/>
    <mergeCell ref="C1390:H1390"/>
    <mergeCell ref="C331:H331"/>
    <mergeCell ref="B576:H576"/>
    <mergeCell ref="C665:H665"/>
    <mergeCell ref="C360:H360"/>
    <mergeCell ref="C91:H91"/>
    <mergeCell ref="C1117:H1117"/>
    <mergeCell ref="B1174:H1174"/>
    <mergeCell ref="C49:H49"/>
    <mergeCell ref="C714:H714"/>
    <mergeCell ref="C42:H42"/>
    <mergeCell ref="C259:H259"/>
    <mergeCell ref="C1145:H1145"/>
    <mergeCell ref="B572:H572"/>
    <mergeCell ref="C71:H71"/>
    <mergeCell ref="C66:H66"/>
    <mergeCell ref="C193:H193"/>
    <mergeCell ref="C1443:H1443"/>
    <mergeCell ref="C1479:H1479"/>
    <mergeCell ref="C1016:H1016"/>
    <mergeCell ref="C261:H261"/>
    <mergeCell ref="B1342:H1342"/>
    <mergeCell ref="B614:H614"/>
    <mergeCell ref="C75:H75"/>
    <mergeCell ref="B502:H502"/>
    <mergeCell ref="B800:H800"/>
    <mergeCell ref="C1161:H1161"/>
    <mergeCell ref="C400:H400"/>
    <mergeCell ref="C1171:H1171"/>
    <mergeCell ref="C429:H429"/>
    <mergeCell ref="C727:H727"/>
    <mergeCell ref="B184:H184"/>
    <mergeCell ref="C1156:H1156"/>
    <mergeCell ref="C437:H437"/>
    <mergeCell ref="C1463:H1463"/>
    <mergeCell ref="C735:H735"/>
    <mergeCell ref="C729:H729"/>
    <mergeCell ref="C1456:H1456"/>
    <mergeCell ref="B642:H642"/>
    <mergeCell ref="B940:H940"/>
    <mergeCell ref="C305:H305"/>
    <mergeCell ref="C463:H463"/>
    <mergeCell ref="C457:H457"/>
    <mergeCell ref="C755:H755"/>
    <mergeCell ref="C763:H763"/>
    <mergeCell ref="C1086:H1086"/>
    <mergeCell ref="C757:H757"/>
    <mergeCell ref="C1088:H1088"/>
    <mergeCell ref="C1386:H1386"/>
    <mergeCell ref="C1414:H1414"/>
    <mergeCell ref="C382:H382"/>
    <mergeCell ref="C811:H811"/>
    <mergeCell ref="C987:H987"/>
    <mergeCell ref="B1014:H1014"/>
    <mergeCell ref="C371:H371"/>
    <mergeCell ref="C529:H529"/>
    <mergeCell ref="C827:H827"/>
    <mergeCell ref="B580:H580"/>
    <mergeCell ref="C1246:H1246"/>
    <mergeCell ref="C491:H491"/>
    <mergeCell ref="C736:H736"/>
    <mergeCell ref="B1006:H1006"/>
    <mergeCell ref="C826:H826"/>
    <mergeCell ref="C1282:H1282"/>
    <mergeCell ref="C1391:H1391"/>
    <mergeCell ref="C1385:H1385"/>
    <mergeCell ref="C1023:H1023"/>
    <mergeCell ref="C1380:H1380"/>
    <mergeCell ref="C625:H625"/>
    <mergeCell ref="B1472:H1472"/>
    <mergeCell ref="C102:H102"/>
    <mergeCell ref="C829:H829"/>
    <mergeCell ref="C1127:H1127"/>
    <mergeCell ref="C402:H402"/>
    <mergeCell ref="C1129:H1129"/>
    <mergeCell ref="C97:H97"/>
    <mergeCell ref="A480:H480"/>
    <mergeCell ref="B300:H300"/>
    <mergeCell ref="C1483:H1483"/>
    <mergeCell ref="C242:H242"/>
    <mergeCell ref="C1485:H1485"/>
    <mergeCell ref="B212:H212"/>
    <mergeCell ref="C1303:H1303"/>
    <mergeCell ref="C882:H882"/>
    <mergeCell ref="C542:H542"/>
    <mergeCell ref="C840:H840"/>
    <mergeCell ref="C753:H753"/>
    <mergeCell ref="C1057:H1057"/>
    <mergeCell ref="C1051:H1051"/>
    <mergeCell ref="C1480:H1480"/>
    <mergeCell ref="C298:H298"/>
    <mergeCell ref="C456:H456"/>
    <mergeCell ref="B1412:H1412"/>
    <mergeCell ref="B1378:H1378"/>
    <mergeCell ref="C1198:H1198"/>
    <mergeCell ref="B348:H348"/>
    <mergeCell ref="C168:H168"/>
    <mergeCell ref="C472:H472"/>
    <mergeCell ref="A1320:H1320"/>
    <mergeCell ref="C466:H466"/>
    <mergeCell ref="C764:H764"/>
    <mergeCell ref="C11:H11"/>
    <mergeCell ref="C924:H924"/>
    <mergeCell ref="C169:H169"/>
    <mergeCell ref="C467:H467"/>
    <mergeCell ref="A256:H256"/>
    <mergeCell ref="C598:H598"/>
    <mergeCell ref="C896:H896"/>
    <mergeCell ref="B380:H380"/>
    <mergeCell ref="C469:H469"/>
    <mergeCell ref="C911:H911"/>
    <mergeCell ref="C1255:H1255"/>
    <mergeCell ref="C500:H500"/>
    <mergeCell ref="C823:H823"/>
    <mergeCell ref="C494:H494"/>
    <mergeCell ref="C527:H527"/>
    <mergeCell ref="C187:H187"/>
    <mergeCell ref="C825:H825"/>
    <mergeCell ref="C485:H485"/>
    <mergeCell ref="C914:H914"/>
    <mergeCell ref="C93:H93"/>
    <mergeCell ref="B678:H678"/>
    <mergeCell ref="C1217:H1217"/>
    <mergeCell ref="C274:H274"/>
    <mergeCell ref="C612:H612"/>
    <mergeCell ref="C910:H910"/>
    <mergeCell ref="B1084:H1084"/>
    <mergeCell ref="B866:H866"/>
    <mergeCell ref="B1024:H1024"/>
    <mergeCell ref="B996:H996"/>
    <mergeCell ref="C387:H387"/>
    <mergeCell ref="C685:H685"/>
    <mergeCell ref="C501:H501"/>
    <mergeCell ref="B6:H6"/>
    <mergeCell ref="C1425:H1425"/>
    <mergeCell ref="B418:H418"/>
    <mergeCell ref="C213:H213"/>
    <mergeCell ref="B306:H306"/>
    <mergeCell ref="C1299:H1299"/>
    <mergeCell ref="C513:H513"/>
    <mergeCell ref="B720:H720"/>
    <mergeCell ref="B1062:H1062"/>
    <mergeCell ref="C540:H540"/>
    <mergeCell ref="C83:H83"/>
    <mergeCell ref="C419:H419"/>
    <mergeCell ref="C235:H235"/>
    <mergeCell ref="B1020:H1020"/>
    <mergeCell ref="B446:H446"/>
    <mergeCell ref="B622:H622"/>
    <mergeCell ref="C137:H137"/>
    <mergeCell ref="B1080:H1080"/>
    <mergeCell ref="C864:H864"/>
    <mergeCell ref="B20:H20"/>
    <mergeCell ref="C139:H139"/>
    <mergeCell ref="C561:H561"/>
    <mergeCell ref="C865:H865"/>
    <mergeCell ref="B922:H922"/>
    <mergeCell ref="C465:H465"/>
    <mergeCell ref="B1220:H1220"/>
    <mergeCell ref="C279:H279"/>
    <mergeCell ref="B670:H670"/>
    <mergeCell ref="C1251:H1251"/>
    <mergeCell ref="C1340:H1340"/>
    <mergeCell ref="C281:H281"/>
    <mergeCell ref="C9:H9"/>
    <mergeCell ref="B1444:H1444"/>
    <mergeCell ref="C631:H631"/>
    <mergeCell ref="C938:H938"/>
    <mergeCell ref="C965:H965"/>
    <mergeCell ref="C204:H204"/>
    <mergeCell ref="C511:H511"/>
    <mergeCell ref="C633:H633"/>
    <mergeCell ref="C809:H809"/>
    <mergeCell ref="C967:H967"/>
    <mergeCell ref="C206:H206"/>
    <mergeCell ref="C1259:H1259"/>
    <mergeCell ref="C504:H504"/>
    <mergeCell ref="B874:H874"/>
    <mergeCell ref="C933:H933"/>
    <mergeCell ref="B1286:H1286"/>
    <mergeCell ref="A284:H284"/>
    <mergeCell ref="C1331:H1331"/>
    <mergeCell ref="C1302:H1302"/>
    <mergeCell ref="C243:H243"/>
    <mergeCell ref="C699:H699"/>
    <mergeCell ref="B902:H902"/>
    <mergeCell ref="C417:H417"/>
    <mergeCell ref="C1144:H1144"/>
    <mergeCell ref="C1155:H1155"/>
    <mergeCell ref="C1423:H1423"/>
    <mergeCell ref="C895:H895"/>
    <mergeCell ref="C1199:H1199"/>
    <mergeCell ref="C1193:H1193"/>
    <mergeCell ref="C1229:H1229"/>
    <mergeCell ref="C1351:H1351"/>
    <mergeCell ref="B1416:H1416"/>
    <mergeCell ref="C1413:H1413"/>
    <mergeCell ref="C863:H863"/>
    <mergeCell ref="B132:H132"/>
    <mergeCell ref="C277:H277"/>
    <mergeCell ref="C581:H581"/>
    <mergeCell ref="C575:H575"/>
    <mergeCell ref="C1031:H1031"/>
    <mergeCell ref="C276:H276"/>
    <mergeCell ref="C577:H577"/>
    <mergeCell ref="C1033:H1033"/>
    <mergeCell ref="C241:H241"/>
    <mergeCell ref="C1133:H1133"/>
    <mergeCell ref="C399:H399"/>
    <mergeCell ref="C1004:H1004"/>
    <mergeCell ref="C176:H176"/>
    <mergeCell ref="C605:H605"/>
    <mergeCell ref="C1254:H1254"/>
    <mergeCell ref="C178:H178"/>
    <mergeCell ref="C791:H791"/>
    <mergeCell ref="B846:H846"/>
    <mergeCell ref="C209:H209"/>
    <mergeCell ref="B1146:H1146"/>
    <mergeCell ref="C167:H167"/>
    <mergeCell ref="C476:H476"/>
    <mergeCell ref="C1114:H1114"/>
    <mergeCell ref="C353:H353"/>
    <mergeCell ref="C1228:H1228"/>
    <mergeCell ref="C687:H687"/>
    <mergeCell ref="C1116:H1116"/>
    <mergeCell ref="C262:H262"/>
    <mergeCell ref="C1478:H1478"/>
    <mergeCell ref="C1357:H1357"/>
    <mergeCell ref="C752:H752"/>
    <mergeCell ref="C1261:H1261"/>
    <mergeCell ref="C177:H177"/>
    <mergeCell ref="C291:H291"/>
    <mergeCell ref="C589:H589"/>
    <mergeCell ref="C17:H17"/>
    <mergeCell ref="B856:H856"/>
    <mergeCell ref="A1068:H1068"/>
    <mergeCell ref="C317:H317"/>
    <mergeCell ref="C1105:H1105"/>
    <mergeCell ref="C344:H344"/>
    <mergeCell ref="C976:H976"/>
    <mergeCell ref="C215:H215"/>
    <mergeCell ref="C644:H644"/>
    <mergeCell ref="B128:H128"/>
    <mergeCell ref="B426:H426"/>
    <mergeCell ref="C1100:H1100"/>
    <mergeCell ref="B586:H586"/>
    <mergeCell ref="C1131:H1131"/>
    <mergeCell ref="B884:H884"/>
    <mergeCell ref="C668:H668"/>
    <mergeCell ref="C1002:H1002"/>
    <mergeCell ref="B104:H104"/>
    <mergeCell ref="B1294:H1294"/>
    <mergeCell ref="B1076:H1076"/>
    <mergeCell ref="C46:H46"/>
    <mergeCell ref="C651:H651"/>
    <mergeCell ref="B744:H744"/>
    <mergeCell ref="B404:H404"/>
    <mergeCell ref="B1042:H1042"/>
    <mergeCell ref="C1469:H1469"/>
    <mergeCell ref="C719:H719"/>
    <mergeCell ref="B194:H194"/>
    <mergeCell ref="B492:H492"/>
    <mergeCell ref="C13:H13"/>
    <mergeCell ref="B828:H828"/>
    <mergeCell ref="B950:H950"/>
    <mergeCell ref="C1373:H1373"/>
    <mergeCell ref="C770:H770"/>
    <mergeCell ref="C15:H15"/>
    <mergeCell ref="C1366:H1366"/>
    <mergeCell ref="C315:H315"/>
    <mergeCell ref="C1368:H1368"/>
    <mergeCell ref="C613:H613"/>
    <mergeCell ref="C771:H771"/>
    <mergeCell ref="C1442:H1442"/>
    <mergeCell ref="C410:H410"/>
    <mergeCell ref="B1048:H1048"/>
    <mergeCell ref="B1384:H1384"/>
    <mergeCell ref="C555:H555"/>
    <mergeCell ref="C741:H741"/>
    <mergeCell ref="C1170:H1170"/>
    <mergeCell ref="C855:H855"/>
    <mergeCell ref="C94:H94"/>
    <mergeCell ref="C428:H428"/>
    <mergeCell ref="C444:H444"/>
    <mergeCell ref="C129:H129"/>
    <mergeCell ref="A1460:H1460"/>
    <mergeCell ref="B54:H54"/>
    <mergeCell ref="B1244:H1244"/>
    <mergeCell ref="C149:H149"/>
    <mergeCell ref="C1333:H1333"/>
    <mergeCell ref="C10:H10"/>
    <mergeCell ref="C1071:H1071"/>
    <mergeCell ref="B968:H968"/>
    <mergeCell ref="B880:H880"/>
    <mergeCell ref="C700:H700"/>
    <mergeCell ref="B208:H208"/>
    <mergeCell ref="C1427:H1427"/>
    <mergeCell ref="C783:H783"/>
    <mergeCell ref="C28:H28"/>
    <mergeCell ref="C326:H326"/>
    <mergeCell ref="C1218:H1218"/>
    <mergeCell ref="C186:H186"/>
    <mergeCell ref="C1212:H1212"/>
    <mergeCell ref="C484:H484"/>
    <mergeCell ref="C1298:H1298"/>
    <mergeCell ref="C1429:H1429"/>
    <mergeCell ref="C695:H695"/>
    <mergeCell ref="A144:H144"/>
    <mergeCell ref="C486:H486"/>
    <mergeCell ref="C784:H784"/>
    <mergeCell ref="C413:H413"/>
    <mergeCell ref="B1356:H1356"/>
    <mergeCell ref="B1350:H1350"/>
    <mergeCell ref="C56:H56"/>
    <mergeCell ref="C379:H379"/>
    <mergeCell ref="C415:H415"/>
    <mergeCell ref="B1322:H1322"/>
    <mergeCell ref="C713:H713"/>
    <mergeCell ref="C1142:H1142"/>
    <mergeCell ref="C679:H679"/>
    <mergeCell ref="C715:H715"/>
    <mergeCell ref="C837:H837"/>
    <mergeCell ref="C55:H55"/>
    <mergeCell ref="B1448:H1448"/>
    <mergeCell ref="B558:H558"/>
    <mergeCell ref="C596:H596"/>
    <mergeCell ref="B268:H268"/>
    <mergeCell ref="B566:H566"/>
    <mergeCell ref="C52:H52"/>
    <mergeCell ref="C806:H806"/>
    <mergeCell ref="A1348:H1348"/>
    <mergeCell ref="C1113:H1113"/>
    <mergeCell ref="C798:H798"/>
    <mergeCell ref="C81:H81"/>
    <mergeCell ref="C1227:H1227"/>
    <mergeCell ref="C686:H686"/>
    <mergeCell ref="C808:H808"/>
    <mergeCell ref="C381:H381"/>
    <mergeCell ref="B250:H250"/>
    <mergeCell ref="B408:H408"/>
    <mergeCell ref="B706:H706"/>
    <mergeCell ref="C63:H63"/>
    <mergeCell ref="C1253:H1253"/>
    <mergeCell ref="C221:H221"/>
    <mergeCell ref="C85:H85"/>
    <mergeCell ref="C389:H389"/>
    <mergeCell ref="C383:H383"/>
    <mergeCell ref="C717:H717"/>
    <mergeCell ref="C1355:H1355"/>
    <mergeCell ref="B468:H468"/>
    <mergeCell ref="C603:H603"/>
    <mergeCell ref="C288:H288"/>
    <mergeCell ref="B860:H860"/>
    <mergeCell ref="C224:H224"/>
    <mergeCell ref="C147:H147"/>
    <mergeCell ref="C232:H232"/>
    <mergeCell ref="C959:H959"/>
    <mergeCell ref="C1176:H1176"/>
    <mergeCell ref="C532:H532"/>
    <mergeCell ref="B510:H510"/>
    <mergeCell ref="C330:H330"/>
    <mergeCell ref="B838:H838"/>
    <mergeCell ref="C1087:H1087"/>
    <mergeCell ref="C332:H332"/>
    <mergeCell ref="C630:H630"/>
    <mergeCell ref="C157:H157"/>
    <mergeCell ref="C455:H455"/>
    <mergeCell ref="C95:H95"/>
    <mergeCell ref="B334:H334"/>
    <mergeCell ref="B1420:H1420"/>
    <mergeCell ref="C881:H881"/>
    <mergeCell ref="C883:H883"/>
    <mergeCell ref="A872:H872"/>
    <mergeCell ref="C151:H151"/>
    <mergeCell ref="C449:H449"/>
    <mergeCell ref="C780:H780"/>
    <mergeCell ref="B992:H992"/>
    <mergeCell ref="C346:H346"/>
    <mergeCell ref="C653:H653"/>
    <mergeCell ref="C680:H680"/>
    <mergeCell ref="C557:H557"/>
    <mergeCell ref="C217:H217"/>
    <mergeCell ref="C136:H136"/>
    <mergeCell ref="C1162:H1162"/>
    <mergeCell ref="C434:H434"/>
    <mergeCell ref="C980:H980"/>
    <mergeCell ref="C1477:H1477"/>
    <mergeCell ref="C445:H445"/>
    <mergeCell ref="C1337:H1337"/>
    <mergeCell ref="B1388:H1388"/>
    <mergeCell ref="C751:H751"/>
    <mergeCell ref="C148:H148"/>
    <mergeCell ref="B474:H474"/>
    <mergeCell ref="B772:H772"/>
    <mergeCell ref="C890:H890"/>
    <mergeCell ref="C165:H165"/>
    <mergeCell ref="B1108:H1108"/>
    <mergeCell ref="B1406:H1406"/>
    <mergeCell ref="C892:H892"/>
    <mergeCell ref="C1050:H1050"/>
    <mergeCell ref="B48:H48"/>
    <mergeCell ref="C595:H595"/>
    <mergeCell ref="C893:H893"/>
    <mergeCell ref="B1132:H1132"/>
    <mergeCell ref="B1098:H1098"/>
    <mergeCell ref="C624:H624"/>
    <mergeCell ref="C918:H918"/>
    <mergeCell ref="C192:H192"/>
    <mergeCell ref="C219:H219"/>
    <mergeCell ref="C517:H517"/>
    <mergeCell ref="C606:H606"/>
    <mergeCell ref="A1236:H1236"/>
    <mergeCell ref="C519:H519"/>
    <mergeCell ref="C1275:H1275"/>
    <mergeCell ref="A956:H956"/>
    <mergeCell ref="C659:H659"/>
    <mergeCell ref="C993:H993"/>
    <mergeCell ref="C238:H238"/>
    <mergeCell ref="B16:H16"/>
    <mergeCell ref="B138:H138"/>
    <mergeCell ref="C233:H233"/>
    <mergeCell ref="C1019:H1019"/>
    <mergeCell ref="C556:H556"/>
    <mergeCell ref="B440:H440"/>
    <mergeCell ref="C1021:H1021"/>
    <mergeCell ref="C266:H266"/>
    <mergeCell ref="C1344:H1344"/>
    <mergeCell ref="C260:H260"/>
    <mergeCell ref="C889:H889"/>
    <mergeCell ref="A1012:H1012"/>
    <mergeCell ref="C891:H891"/>
    <mergeCell ref="A340:H340"/>
    <mergeCell ref="B160:H160"/>
    <mergeCell ref="C920:H920"/>
    <mergeCell ref="C1372:H1372"/>
    <mergeCell ref="B72:H72"/>
    <mergeCell ref="C1032:H1032"/>
    <mergeCell ref="B370:H370"/>
    <mergeCell ref="C945:H945"/>
    <mergeCell ref="C190:H190"/>
    <mergeCell ref="C1249:H1249"/>
    <mergeCell ref="C304:H304"/>
    <mergeCell ref="C917:H917"/>
    <mergeCell ref="A1152:H1152"/>
    <mergeCell ref="C602:H602"/>
    <mergeCell ref="C490:H490"/>
    <mergeCell ref="C946:H946"/>
    <mergeCell ref="C185:H185"/>
    <mergeCell ref="B82:H82"/>
    <mergeCell ref="B1272:H1272"/>
    <mergeCell ref="C27:H27"/>
    <mergeCell ref="C203:H203"/>
    <mergeCell ref="C1393:H1393"/>
    <mergeCell ref="C361:H361"/>
    <mergeCell ref="C327:H327"/>
    <mergeCell ref="A1376:H1376"/>
    <mergeCell ref="C661:H661"/>
    <mergeCell ref="B530:H530"/>
    <mergeCell ref="B986:H986"/>
    <mergeCell ref="C1015:H1015"/>
    <mergeCell ref="C45:H45"/>
    <mergeCell ref="C343:H343"/>
    <mergeCell ref="B436:H436"/>
    <mergeCell ref="C1017:H1017"/>
    <mergeCell ref="C1315:H1315"/>
    <mergeCell ref="C560:H560"/>
    <mergeCell ref="C554:H554"/>
    <mergeCell ref="C1389:H1389"/>
    <mergeCell ref="C1383:H1383"/>
    <mergeCell ref="C655:H655"/>
    <mergeCell ref="C1382:H1382"/>
    <mergeCell ref="C323:H323"/>
    <mergeCell ref="B1266:H1266"/>
    <mergeCell ref="C657:H657"/>
    <mergeCell ref="C1226:H1226"/>
    <mergeCell ref="C769:H769"/>
    <mergeCell ref="C41:H41"/>
    <mergeCell ref="A760:H760"/>
    <mergeCell ref="C1102:H1102"/>
    <mergeCell ref="C43:H43"/>
    <mergeCell ref="C1166:H1166"/>
    <mergeCell ref="C876:H876"/>
    <mergeCell ref="C1446:H1446"/>
    <mergeCell ref="C1106:H1106"/>
    <mergeCell ref="C47:H47"/>
    <mergeCell ref="C345:H345"/>
    <mergeCell ref="A368:H368"/>
    <mergeCell ref="C1317:H1317"/>
    <mergeCell ref="B1070:H1070"/>
    <mergeCell ref="A1404:H1404"/>
    <mergeCell ref="C854:H854"/>
    <mergeCell ref="B156:H156"/>
    <mergeCell ref="B454:H454"/>
    <mergeCell ref="C1157:H1157"/>
    <mergeCell ref="C267:H267"/>
    <mergeCell ref="C1159:H1159"/>
    <mergeCell ref="B912:H912"/>
    <mergeCell ref="C1457:H1457"/>
    <mergeCell ref="B1210:H1210"/>
    <mergeCell ref="C994:H994"/>
    <mergeCell ref="C1030:H1030"/>
    <mergeCell ref="C275:H275"/>
    <mergeCell ref="C269:H269"/>
    <mergeCell ref="C427:H427"/>
    <mergeCell ref="C725:H725"/>
    <mergeCell ref="B936:H936"/>
    <mergeCell ref="C1025:H1025"/>
    <mergeCell ref="C270:H270"/>
    <mergeCell ref="C1242:H1242"/>
    <mergeCell ref="C295:H295"/>
    <mergeCell ref="B1238:H1238"/>
    <mergeCell ref="C409:H409"/>
    <mergeCell ref="C1058:H1058"/>
    <mergeCell ref="B1140:H1140"/>
    <mergeCell ref="C1394:H1394"/>
    <mergeCell ref="C639:H639"/>
    <mergeCell ref="C797:H797"/>
    <mergeCell ref="C36:H36"/>
    <mergeCell ref="C641:H641"/>
    <mergeCell ref="C799:H799"/>
    <mergeCell ref="C67:H67"/>
    <mergeCell ref="C1283:H1283"/>
    <mergeCell ref="C1397:H1397"/>
    <mergeCell ref="C1128:H1128"/>
    <mergeCell ref="C69:H69"/>
    <mergeCell ref="B278:H278"/>
    <mergeCell ref="B1304:H1304"/>
    <mergeCell ref="C98:H98"/>
    <mergeCell ref="C1428:H1428"/>
    <mergeCell ref="C667:H667"/>
    <mergeCell ref="C1001:H1001"/>
    <mergeCell ref="C64:H64"/>
    <mergeCell ref="C610:H610"/>
    <mergeCell ref="C1225:H1225"/>
    <mergeCell ref="C470:H470"/>
    <mergeCell ref="C777:H777"/>
    <mergeCell ref="C1200:H1200"/>
    <mergeCell ref="B684:H684"/>
    <mergeCell ref="C779:H779"/>
    <mergeCell ref="C1077:H1077"/>
    <mergeCell ref="C1297:H1297"/>
    <mergeCell ref="C1411:H1411"/>
    <mergeCell ref="B1230:H1230"/>
    <mergeCell ref="C737:H737"/>
    <mergeCell ref="C1035:H1035"/>
    <mergeCell ref="C280:H280"/>
    <mergeCell ref="C1455:H1455"/>
    <mergeCell ref="C721:H721"/>
    <mergeCell ref="C696:H696"/>
    <mergeCell ref="C364:H364"/>
    <mergeCell ref="A816:H816"/>
    <mergeCell ref="C1450:H1450"/>
    <mergeCell ref="B636:H636"/>
    <mergeCell ref="B296:H296"/>
    <mergeCell ref="C868:H868"/>
    <mergeCell ref="C1481:H1481"/>
    <mergeCell ref="B202:H202"/>
    <mergeCell ref="C1054:H1054"/>
    <mergeCell ref="C293:H293"/>
    <mergeCell ref="C1143:H1143"/>
    <mergeCell ref="C1466:H1466"/>
    <mergeCell ref="C111:H111"/>
    <mergeCell ref="C749:H749"/>
    <mergeCell ref="C1047:H1047"/>
    <mergeCell ref="C1354:H1354"/>
    <mergeCell ref="C1055:H1055"/>
    <mergeCell ref="C1049:H1049"/>
    <mergeCell ref="C294:H294"/>
    <mergeCell ref="A1432:H1432"/>
    <mergeCell ref="A1292:H1292"/>
    <mergeCell ref="B1252:H1252"/>
    <mergeCell ref="C1194:H1194"/>
    <mergeCell ref="B222:H222"/>
    <mergeCell ref="C767:H767"/>
    <mergeCell ref="C1065:H1065"/>
    <mergeCell ref="C925:H925"/>
    <mergeCell ref="B650:H650"/>
    <mergeCell ref="C1189:H1189"/>
    <mergeCell ref="C7:H7"/>
    <mergeCell ref="C1197:H1197"/>
    <mergeCell ref="C1191:H1191"/>
    <mergeCell ref="C307:H307"/>
    <mergeCell ref="B362:H362"/>
    <mergeCell ref="B660:H660"/>
    <mergeCell ref="C909:H909"/>
    <mergeCell ref="B1300:H1300"/>
    <mergeCell ref="C1424:H1424"/>
    <mergeCell ref="C392:H392"/>
    <mergeCell ref="C25:H25"/>
    <mergeCell ref="B1308:H1308"/>
    <mergeCell ref="C183:H183"/>
    <mergeCell ref="C1119:H1119"/>
    <mergeCell ref="A900:H900"/>
    <mergeCell ref="C904:H904"/>
    <mergeCell ref="C483:H483"/>
    <mergeCell ref="C1121:H1121"/>
    <mergeCell ref="C781:H781"/>
    <mergeCell ref="C1419:H1419"/>
    <mergeCell ref="C694:H694"/>
    <mergeCell ref="B390:H390"/>
    <mergeCell ref="C1421:H1421"/>
    <mergeCell ref="B292:H292"/>
    <mergeCell ref="B762:H762"/>
    <mergeCell ref="B34:H34"/>
    <mergeCell ref="C1363:H1363"/>
    <mergeCell ref="C906:H906"/>
    <mergeCell ref="C120:H120"/>
    <mergeCell ref="C1240:H1240"/>
    <mergeCell ref="C181:H181"/>
    <mergeCell ref="C473:H473"/>
    <mergeCell ref="B1476:H1476"/>
    <mergeCell ref="C78:H78"/>
    <mergeCell ref="B594:H594"/>
    <mergeCell ref="B716:H716"/>
    <mergeCell ref="C1139:H1139"/>
    <mergeCell ref="C107:H107"/>
    <mergeCell ref="A200:H200"/>
    <mergeCell ref="C378:H378"/>
    <mergeCell ref="C1437:H1437"/>
    <mergeCell ref="C834:H834"/>
    <mergeCell ref="C79:H79"/>
    <mergeCell ref="C73:H73"/>
    <mergeCell ref="C231:H231"/>
    <mergeCell ref="C1439:H1439"/>
    <mergeCell ref="C407:H407"/>
    <mergeCell ref="C836:H836"/>
    <mergeCell ref="C1134:H1134"/>
    <mergeCell ref="C835:H835"/>
    <mergeCell ref="C135:H135"/>
    <mergeCell ref="C433:H433"/>
    <mergeCell ref="C862:H862"/>
    <mergeCell ref="C547:H547"/>
    <mergeCell ref="C1221:H1221"/>
    <mergeCell ref="C1274:H1274"/>
    <mergeCell ref="C435:H435"/>
    <mergeCell ref="B460:H460"/>
    <mergeCell ref="C1187:H1187"/>
    <mergeCell ref="C847:H847"/>
    <mergeCell ref="C92:H92"/>
    <mergeCell ref="A424:H424"/>
    <mergeCell ref="C766:H766"/>
    <mergeCell ref="C1064:H1064"/>
    <mergeCell ref="B1440:H1440"/>
    <mergeCell ref="C1233:H1233"/>
    <mergeCell ref="C505:H505"/>
    <mergeCell ref="B258:H258"/>
    <mergeCell ref="C1232:H1232"/>
    <mergeCell ref="A1040:H1040"/>
    <mergeCell ref="C805:H805"/>
    <mergeCell ref="C1103:H1103"/>
    <mergeCell ref="C80:H80"/>
    <mergeCell ref="A928:H928"/>
    <mergeCell ref="C807:H807"/>
    <mergeCell ref="C347:H347"/>
    <mergeCell ref="B100:H100"/>
    <mergeCell ref="B1370:H1370"/>
    <mergeCell ref="A1096:H1096"/>
    <mergeCell ref="C131:H131"/>
    <mergeCell ref="B698:H698"/>
    <mergeCell ref="C975:H975"/>
    <mergeCell ref="C220:H220"/>
    <mergeCell ref="C858:H858"/>
    <mergeCell ref="C518:H518"/>
    <mergeCell ref="C947:H947"/>
    <mergeCell ref="C431:H431"/>
    <mergeCell ref="C1245:H1245"/>
    <mergeCell ref="C1306:H1306"/>
    <mergeCell ref="C1281:H1281"/>
    <mergeCell ref="C1158:H1158"/>
    <mergeCell ref="C126:H126"/>
    <mergeCell ref="A1264:H1264"/>
    <mergeCell ref="C546:H546"/>
    <mergeCell ref="B1056:H1056"/>
    <mergeCell ref="C273:H273"/>
    <mergeCell ref="B26:H26"/>
    <mergeCell ref="C571:H571"/>
    <mergeCell ref="B324:H324"/>
    <mergeCell ref="C869:H869"/>
    <mergeCell ref="B1216:H1216"/>
    <mergeCell ref="B482:H482"/>
    <mergeCell ref="C150:H150"/>
    <mergeCell ref="C442:H442"/>
    <mergeCell ref="C1334:H1334"/>
    <mergeCell ref="C573:H573"/>
    <mergeCell ref="C877:H877"/>
    <mergeCell ref="C1169:H1169"/>
    <mergeCell ref="C414:H414"/>
    <mergeCell ref="C1029:H1029"/>
    <mergeCell ref="B782:H782"/>
    <mergeCell ref="C1327:H1327"/>
    <mergeCell ref="C1329:H1329"/>
    <mergeCell ref="C574:H574"/>
    <mergeCell ref="B44:H44"/>
    <mergeCell ref="B166:H166"/>
    <mergeCell ref="B464:H464"/>
    <mergeCell ref="B352:H352"/>
    <mergeCell ref="A1180:H1180"/>
    <mergeCell ref="B964:H964"/>
    <mergeCell ref="C640:H640"/>
    <mergeCell ref="C627:H627"/>
    <mergeCell ref="B240:H240"/>
    <mergeCell ref="C785:H785"/>
    <mergeCell ref="B538:H538"/>
    <mergeCell ref="C963:H963"/>
    <mergeCell ref="C999:H999"/>
    <mergeCell ref="C567:H567"/>
    <mergeCell ref="C1474:H1474"/>
    <mergeCell ref="B174:H174"/>
    <mergeCell ref="C134:H134"/>
    <mergeCell ref="C1345:H1345"/>
    <mergeCell ref="C584:H584"/>
    <mergeCell ref="C742:H742"/>
    <mergeCell ref="C163:H163"/>
    <mergeCell ref="C287:H287"/>
    <mergeCell ref="C803:H803"/>
    <mergeCell ref="C585:H585"/>
    <mergeCell ref="C498:H498"/>
    <mergeCell ref="C158:H158"/>
    <mergeCell ref="C289:H289"/>
    <mergeCell ref="C587:H587"/>
    <mergeCell ref="B96:H96"/>
    <mergeCell ref="C643:H643"/>
    <mergeCell ref="C191:H191"/>
    <mergeCell ref="C514:H514"/>
    <mergeCell ref="C1400:H1400"/>
    <mergeCell ref="B398:H398"/>
    <mergeCell ref="C943:H943"/>
    <mergeCell ref="C1277:H1277"/>
    <mergeCell ref="C218:H218"/>
    <mergeCell ref="C1271:H1271"/>
    <mergeCell ref="C638:H638"/>
    <mergeCell ref="C1243:H1243"/>
    <mergeCell ref="C1270:H1270"/>
    <mergeCell ref="C211:H211"/>
    <mergeCell ref="C601:H601"/>
    <mergeCell ref="C182:H182"/>
    <mergeCell ref="C1074:H1074"/>
    <mergeCell ref="C611:H611"/>
    <mergeCell ref="B1482:H1482"/>
    <mergeCell ref="C1401:H1401"/>
    <mergeCell ref="B1154:H1154"/>
    <mergeCell ref="B124:H124"/>
    <mergeCell ref="C974:H974"/>
    <mergeCell ref="C669:H669"/>
    <mergeCell ref="C358:H358"/>
    <mergeCell ref="C998:H998"/>
    <mergeCell ref="C237:H237"/>
    <mergeCell ref="C990:H990"/>
    <mergeCell ref="C53:H53"/>
    <mergeCell ref="C351:H351"/>
    <mergeCell ref="C658:H658"/>
    <mergeCell ref="C239:H239"/>
    <mergeCell ref="C1325:H1325"/>
    <mergeCell ref="B804:H804"/>
    <mergeCell ref="C1043:H1043"/>
    <mergeCell ref="C1316:H1316"/>
    <mergeCell ref="C1343:H1343"/>
    <mergeCell ref="C1467:H1467"/>
    <mergeCell ref="A704:H704"/>
    <mergeCell ref="C1338:H1338"/>
    <mergeCell ref="B524:H524"/>
    <mergeCell ref="C583:H583"/>
    <mergeCell ref="B824:H824"/>
    <mergeCell ref="C1369:H1369"/>
    <mergeCell ref="C309:H309"/>
    <mergeCell ref="C1371:H1371"/>
    <mergeCell ref="A844:H844"/>
    <mergeCell ref="C609:H609"/>
    <mergeCell ref="C303:H303"/>
    <mergeCell ref="C645:H645"/>
    <mergeCell ref="C24:H24"/>
    <mergeCell ref="C322:H322"/>
    <mergeCell ref="C629:H629"/>
    <mergeCell ref="C1085:H1085"/>
    <mergeCell ref="C349:H349"/>
    <mergeCell ref="C1079:H1079"/>
    <mergeCell ref="C1296:H1296"/>
    <mergeCell ref="C1410:H1410"/>
    <mergeCell ref="B894:H894"/>
    <mergeCell ref="B1188:H1188"/>
    <mergeCell ref="C411:H411"/>
    <mergeCell ref="B1196:H1196"/>
    <mergeCell ref="C709:H709"/>
    <mergeCell ref="C1007:H1007"/>
    <mergeCell ref="C1278:H1278"/>
    <mergeCell ref="C1138:H1138"/>
    <mergeCell ref="C1436:H1436"/>
    <mergeCell ref="A788:H788"/>
    <mergeCell ref="C37:H37"/>
    <mergeCell ref="C711:H711"/>
    <mergeCell ref="C1009:H1009"/>
    <mergeCell ref="C1307:H1307"/>
    <mergeCell ref="C248:H248"/>
    <mergeCell ref="C39:H39"/>
    <mergeCell ref="A32:H32"/>
    <mergeCell ref="B1202:H1202"/>
    <mergeCell ref="C50:H50"/>
    <mergeCell ref="B118:H118"/>
    <mergeCell ref="C1022:H1022"/>
    <mergeCell ref="C997:H997"/>
    <mergeCell ref="C1111:H1111"/>
    <mergeCell ref="C350:H350"/>
    <mergeCell ref="A88:H88"/>
    <mergeCell ref="C388:H388"/>
    <mergeCell ref="C722:H722"/>
    <mergeCell ref="C853:H853"/>
    <mergeCell ref="C119:H119"/>
    <mergeCell ref="B152:H152"/>
    <mergeCell ref="B748:H748"/>
    <mergeCell ref="C568:H568"/>
    <mergeCell ref="B908:H908"/>
    <mergeCell ref="B90:H90"/>
    <mergeCell ref="B548:H548"/>
    <mergeCell ref="C971:H971"/>
    <mergeCell ref="C1093:H1093"/>
    <mergeCell ref="C210:H210"/>
    <mergeCell ref="C666:H666"/>
    <mergeCell ref="C937:H937"/>
    <mergeCell ref="B1182:H1182"/>
    <mergeCell ref="C966:H966"/>
    <mergeCell ref="C697:H697"/>
    <mergeCell ref="B230:H230"/>
    <mergeCell ref="C223:H223"/>
    <mergeCell ref="C861:H861"/>
    <mergeCell ref="C521:H521"/>
    <mergeCell ref="C523:H523"/>
    <mergeCell ref="C821:H821"/>
    <mergeCell ref="C879:H879"/>
    <mergeCell ref="C539:H539"/>
    <mergeCell ref="B632:H632"/>
    <mergeCell ref="C1177:H1177"/>
    <mergeCell ref="B930:H930"/>
    <mergeCell ref="B790:H790"/>
    <mergeCell ref="C756:H756"/>
    <mergeCell ref="C108:H108"/>
    <mergeCell ref="C318:H318"/>
    <mergeCell ref="C109:H109"/>
    <mergeCell ref="C1081:H1081"/>
    <mergeCell ref="C22:H22"/>
    <mergeCell ref="C1075:H1075"/>
    <mergeCell ref="C1083:H1083"/>
    <mergeCell ref="C51:H51"/>
    <mergeCell ref="C1381:H1381"/>
    <mergeCell ref="C778:H778"/>
    <mergeCell ref="B264:H264"/>
    <mergeCell ref="C794:H794"/>
    <mergeCell ref="C77:H77"/>
    <mergeCell ref="C375:H375"/>
    <mergeCell ref="B712:H712"/>
    <mergeCell ref="C531:H531"/>
    <mergeCell ref="C1311:H1311"/>
    <mergeCell ref="C550:H550"/>
    <mergeCell ref="C857:H857"/>
    <mergeCell ref="C123:H123"/>
    <mergeCell ref="C1313:H1313"/>
    <mergeCell ref="C1269:H1269"/>
    <mergeCell ref="C850:H850"/>
    <mergeCell ref="C406:H406"/>
    <mergeCell ref="C1309:H1309"/>
    <mergeCell ref="C393:H393"/>
    <mergeCell ref="B146:H146"/>
    <mergeCell ref="B1336:H1336"/>
    <mergeCell ref="C693:H693"/>
    <mergeCell ref="C553:H553"/>
    <mergeCell ref="C851:H851"/>
    <mergeCell ref="B604:H604"/>
    <mergeCell ref="A4:H4"/>
    <mergeCell ref="C1223:H1223"/>
    <mergeCell ref="C682:H682"/>
    <mergeCell ref="C489:H489"/>
    <mergeCell ref="C35:H35"/>
    <mergeCell ref="C377:H377"/>
    <mergeCell ref="C333:H333"/>
    <mergeCell ref="C522:H522"/>
    <mergeCell ref="C822:H822"/>
    <mergeCell ref="C359:H359"/>
    <mergeCell ref="C849:H849"/>
    <mergeCell ref="C1147:H1147"/>
    <mergeCell ref="C1445:H1445"/>
    <mergeCell ref="C1447:H1447"/>
    <mergeCell ref="A508:H508"/>
    <mergeCell ref="B328:H328"/>
    <mergeCell ref="C875:H875"/>
    <mergeCell ref="B628:H628"/>
    <mergeCell ref="C1173:H1173"/>
    <mergeCell ref="C448:H448"/>
    <mergeCell ref="C746:H746"/>
    <mergeCell ref="C1044:H1044"/>
    <mergeCell ref="C1175:H1175"/>
    <mergeCell ref="C105:H105"/>
    <mergeCell ref="C162:H162"/>
    <mergeCell ref="C164:H164"/>
    <mergeCell ref="B62:H62"/>
    <mergeCell ref="C57:H57"/>
    <mergeCell ref="C175:H175"/>
    <mergeCell ref="C1418:H1418"/>
    <mergeCell ref="C386:H386"/>
    <mergeCell ref="C475:H475"/>
    <mergeCell ref="C1473:H1473"/>
    <mergeCell ref="C439:H439"/>
    <mergeCell ref="A228:H228"/>
    <mergeCell ref="C1046:H1046"/>
    <mergeCell ref="C1204:H1204"/>
    <mergeCell ref="C1475:H1475"/>
    <mergeCell ref="C405:H405"/>
    <mergeCell ref="C747:H747"/>
    <mergeCell ref="A1124:H1124"/>
    <mergeCell ref="A984:H984"/>
    <mergeCell ref="B768:H768"/>
    <mergeCell ref="B944:H944"/>
    <mergeCell ref="C459:H459"/>
    <mergeCell ref="B1104:H1104"/>
    <mergeCell ref="C1186:H1186"/>
    <mergeCell ref="B342:H342"/>
    <mergeCell ref="C461:H461"/>
    <mergeCell ref="C373:H373"/>
    <mergeCell ref="C462:H462"/>
    <mergeCell ref="C673:H673"/>
    <mergeCell ref="C487:H487"/>
    <mergeCell ref="C1362:H1362"/>
    <mergeCell ref="A1208:H1208"/>
    <mergeCell ref="C355:H355"/>
    <mergeCell ref="B1000:H1000"/>
    <mergeCell ref="C391:H391"/>
    <mergeCell ref="C820:H820"/>
    <mergeCell ref="C357:H357"/>
    <mergeCell ref="C515:H515"/>
    <mergeCell ref="C691:H691"/>
    <mergeCell ref="C813:H813"/>
    <mergeCell ref="C1120:H1120"/>
    <mergeCell ref="B1468:H1468"/>
    <mergeCell ref="B110:H110"/>
    <mergeCell ref="C533:H533"/>
    <mergeCell ref="B286:H286"/>
    <mergeCell ref="C831:H831"/>
    <mergeCell ref="C70:H70"/>
    <mergeCell ref="C106:H106"/>
    <mergeCell ref="C526:H526"/>
    <mergeCell ref="C833:H833"/>
    <mergeCell ref="C1471:H1471"/>
    <mergeCell ref="C991:H991"/>
    <mergeCell ref="C1289:H1289"/>
    <mergeCell ref="C528:H528"/>
    <mergeCell ref="B12:H12"/>
    <mergeCell ref="C745:H745"/>
    <mergeCell ref="C101:H101"/>
    <mergeCell ref="C559:H559"/>
    <mergeCell ref="B1398:H1398"/>
    <mergeCell ref="C246:H246"/>
    <mergeCell ref="C859:H859"/>
    <mergeCell ref="B314:H314"/>
    <mergeCell ref="C973:H973"/>
    <mergeCell ref="C886:H886"/>
    <mergeCell ref="C1190:H1190"/>
    <mergeCell ref="C1184:H1184"/>
    <mergeCell ref="C133:H133"/>
    <mergeCell ref="C127:H127"/>
    <mergeCell ref="C247:H247"/>
    <mergeCell ref="C458:H458"/>
    <mergeCell ref="B608:H608"/>
    <mergeCell ref="C969:H969"/>
    <mergeCell ref="C252:H252"/>
    <mergeCell ref="C1484:H1484"/>
    <mergeCell ref="C887:H887"/>
    <mergeCell ref="B1126:H1126"/>
    <mergeCell ref="C1185:H1185"/>
    <mergeCell ref="B236:H236"/>
    <mergeCell ref="B1426:H1426"/>
    <mergeCell ref="C599:H599"/>
    <mergeCell ref="C897:H897"/>
    <mergeCell ref="B810:H810"/>
    <mergeCell ref="C905:H905"/>
    <mergeCell ref="C1203:H1203"/>
    <mergeCell ref="C1241:H1241"/>
    <mergeCell ref="C302:H302"/>
    <mergeCell ref="C934:H934"/>
    <mergeCell ref="C471:H471"/>
    <mergeCell ref="A564:H564"/>
    <mergeCell ref="B384:H384"/>
    <mergeCell ref="C931:H931"/>
    <mergeCell ref="C626:H626"/>
    <mergeCell ref="C802:H802"/>
    <mergeCell ref="C960:H960"/>
    <mergeCell ref="C1231:H1231"/>
    <mergeCell ref="C497:H497"/>
    <mergeCell ref="C962:H962"/>
    <mergeCell ref="B740:H740"/>
    <mergeCell ref="C1260:H1260"/>
    <mergeCell ref="C1285:H1285"/>
    <mergeCell ref="C499:H499"/>
    <mergeCell ref="B852:H852"/>
    <mergeCell ref="C1287:H1287"/>
    <mergeCell ref="B520:H520"/>
    <mergeCell ref="C1399:H1399"/>
    <mergeCell ref="C195:H195"/>
    <mergeCell ref="C493:H493"/>
    <mergeCell ref="C1379:H1379"/>
    <mergeCell ref="C1256:H1256"/>
    <mergeCell ref="C197:H197"/>
    <mergeCell ref="C1250:H1250"/>
    <mergeCell ref="C495:H495"/>
    <mergeCell ref="C951:H951"/>
    <mergeCell ref="C1222:H1222"/>
    <mergeCell ref="A732:H732"/>
    <mergeCell ref="C795:H795"/>
    <mergeCell ref="C953:H953"/>
    <mergeCell ref="C337:H337"/>
    <mergeCell ref="C635:H635"/>
    <mergeCell ref="B1280:H1280"/>
    <mergeCell ref="C671:H671"/>
    <mergeCell ref="C942:H942"/>
    <mergeCell ref="C637:H637"/>
    <mergeCell ref="C935:H935"/>
    <mergeCell ref="C724:H724"/>
    <mergeCell ref="C607:H607"/>
    <mergeCell ref="C941:H941"/>
    <mergeCell ref="C723:H723"/>
    <mergeCell ref="C1239:H1239"/>
    <mergeCell ref="C907:H907"/>
    <mergeCell ref="C1053:H1053"/>
    <mergeCell ref="C1027:H1027"/>
    <mergeCell ref="C1149:H1149"/>
    <mergeCell ref="C1195:H1195"/>
    <mergeCell ref="B1364:H1364"/>
    <mergeCell ref="C234:H234"/>
    <mergeCell ref="C750:H750"/>
    <mergeCell ref="C1464:H1464"/>
    <mergeCell ref="C1045:H1045"/>
    <mergeCell ref="C1037:H1037"/>
    <mergeCell ref="C1335:H1335"/>
    <mergeCell ref="A396:H396"/>
    <mergeCell ref="C1036:H1036"/>
    <mergeCell ref="B1248:H1248"/>
    <mergeCell ref="B216:H216"/>
    <mergeCell ref="C1465:H1465"/>
    <mergeCell ref="B188:H188"/>
    <mergeCell ref="C8:H8"/>
    <mergeCell ref="B516:H516"/>
    <mergeCell ref="C1061:H1061"/>
    <mergeCell ref="B488:H488"/>
    <mergeCell ref="C765:H765"/>
    <mergeCell ref="C1063:H1063"/>
    <mergeCell ref="C308:H308"/>
    <mergeCell ref="C1361:H1361"/>
    <mergeCell ref="A116:H116"/>
    <mergeCell ref="C179:H179"/>
    <mergeCell ref="C1396:H1396"/>
    <mergeCell ref="C662:H662"/>
    <mergeCell ref="B656:H656"/>
    <mergeCell ref="B664:H664"/>
    <mergeCell ref="C21:H21"/>
    <mergeCell ref="C1205:H1205"/>
    <mergeCell ref="C1422:H1422"/>
    <mergeCell ref="C1107:H1107"/>
    <mergeCell ref="C1082:H1082"/>
    <mergeCell ref="C23:H23"/>
    <mergeCell ref="C995:H995"/>
    <mergeCell ref="C1109:H1109"/>
    <mergeCell ref="C18:H18"/>
    <mergeCell ref="A312:H312"/>
    <mergeCell ref="C1409:H1409"/>
    <mergeCell ref="C74:H74"/>
    <mergeCell ref="C372:H372"/>
    <mergeCell ref="C1135:H1135"/>
    <mergeCell ref="C103:H103"/>
    <mergeCell ref="C374:H374"/>
    <mergeCell ref="B888:H888"/>
    <mergeCell ref="C401:H401"/>
    <mergeCell ref="C672:H672"/>
    <mergeCell ref="C708:H708"/>
    <mergeCell ref="C830:H830"/>
    <mergeCell ref="C1137:H1137"/>
    <mergeCell ref="C19:H19"/>
    <mergeCell ref="C477:H477"/>
    <mergeCell ref="C775:H775"/>
    <mergeCell ref="C1073:H1073"/>
    <mergeCell ref="C1288:H1288"/>
    <mergeCell ref="A620:H620"/>
    <mergeCell ref="C251:H251"/>
    <mergeCell ref="C253:H253"/>
    <mergeCell ref="B1090:H1090"/>
    <mergeCell ref="C551:H551"/>
    <mergeCell ref="C155:H155"/>
    <mergeCell ref="C1339:H1339"/>
    <mergeCell ref="C578:H578"/>
    <mergeCell ref="C570:H570"/>
    <mergeCell ref="C113:H113"/>
    <mergeCell ref="C728:H728"/>
    <mergeCell ref="C1026:H1026"/>
    <mergeCell ref="C271:H271"/>
    <mergeCell ref="C245:H245"/>
    <mergeCell ref="B1328:H1328"/>
    <mergeCell ref="C421:H421"/>
    <mergeCell ref="C543:H543"/>
    <mergeCell ref="C1059:H1059"/>
    <mergeCell ref="C1148:H1148"/>
    <mergeCell ref="C545:H545"/>
    <mergeCell ref="C1365:H1365"/>
    <mergeCell ref="C1359:H1359"/>
    <mergeCell ref="C1060:H1060"/>
    <mergeCell ref="C416:H416"/>
    <mergeCell ref="C335:H335"/>
    <mergeCell ref="A536:H536"/>
    <mergeCell ref="C447:H447"/>
    <mergeCell ref="B356:H356"/>
    <mergeCell ref="C903:H903"/>
    <mergeCell ref="C1201:H1201"/>
    <mergeCell ref="B1112:H1112"/>
    <mergeCell ref="C1078:H1078"/>
    <mergeCell ref="C774:H774"/>
    <mergeCell ref="C1072:H1072"/>
    <mergeCell ref="C932:H932"/>
    <mergeCell ref="C773:H773"/>
    <mergeCell ref="C319:H319"/>
    <mergeCell ref="C690:H690"/>
    <mergeCell ref="C988:H988"/>
    <mergeCell ref="B1314:H1314"/>
    <mergeCell ref="C1324:H1324"/>
    <mergeCell ref="C265:H265"/>
    <mergeCell ref="C1326:H1326"/>
    <mergeCell ref="B1224:H1224"/>
    <mergeCell ref="C710:H710"/>
    <mergeCell ref="C14:H14"/>
    <mergeCell ref="B688:H688"/>
    <mergeCell ref="C503:H503"/>
    <mergeCell ref="C1214:H1214"/>
    <mergeCell ref="C801:H801"/>
    <mergeCell ref="C617:H617"/>
    <mergeCell ref="C793:H793"/>
    <mergeCell ref="C915:H915"/>
    <mergeCell ref="C1101:H1101"/>
    <mergeCell ref="C1215:H1215"/>
    <mergeCell ref="B272:H272"/>
    <mergeCell ref="B726:H726"/>
    <mergeCell ref="C819:H819"/>
    <mergeCell ref="B1360:H1360"/>
    <mergeCell ref="C112:H112"/>
    <mergeCell ref="B1028:H1028"/>
    <mergeCell ref="C541:H541"/>
    <mergeCell ref="C839:H839"/>
    <mergeCell ref="C84:H84"/>
    <mergeCell ref="C841:H841"/>
    <mergeCell ref="C1183:H1183"/>
    <mergeCell ref="B754:H754"/>
    <mergeCell ref="B1052:H1052"/>
    <mergeCell ref="C443:H443"/>
    <mergeCell ref="C1141:H1141"/>
    <mergeCell ref="B320:H320"/>
    <mergeCell ref="C743:H743"/>
    <mergeCell ref="C1172:H1172"/>
    <mergeCell ref="C140:H140"/>
    <mergeCell ref="C1247:H1247"/>
    <mergeCell ref="C1099:H1099"/>
    <mergeCell ref="C1213:H1213"/>
    <mergeCell ref="C1470:H1470"/>
    <mergeCell ref="C438:H438"/>
    <mergeCell ref="C1330:H1330"/>
    <mergeCell ref="C569:H569"/>
    <mergeCell ref="C867:H867"/>
    <mergeCell ref="C738:H738"/>
    <mergeCell ref="C141:H141"/>
    <mergeCell ref="C1167:H1167"/>
    <mergeCell ref="A676:H676"/>
    <mergeCell ref="B40:H40"/>
    <mergeCell ref="C99:H99"/>
    <mergeCell ref="C441:H441"/>
    <mergeCell ref="B496:H496"/>
    <mergeCell ref="C885:H885"/>
    <mergeCell ref="C130:H130"/>
    <mergeCell ref="B978:H978"/>
    <mergeCell ref="B1276:H1276"/>
    <mergeCell ref="B796:H796"/>
    <mergeCell ref="C1341:H1341"/>
    <mergeCell ref="B1434:H1434"/>
    <mergeCell ref="C159:H159"/>
    <mergeCell ref="C430:H430"/>
    <mergeCell ref="C153:H153"/>
    <mergeCell ref="C588:H588"/>
    <mergeCell ref="C582:H582"/>
    <mergeCell ref="C125:H125"/>
    <mergeCell ref="C161:H161"/>
    <mergeCell ref="B180:H180"/>
    <mergeCell ref="B552:H552"/>
    <mergeCell ref="C913:H913"/>
    <mergeCell ref="C1211:H1211"/>
    <mergeCell ref="C154:H154"/>
    <mergeCell ref="C214:H214"/>
    <mergeCell ref="C1267:H1267"/>
    <mergeCell ref="C512:H512"/>
    <mergeCell ref="C207:H207"/>
    <mergeCell ref="A172:H172"/>
    <mergeCell ref="C812:H812"/>
    <mergeCell ref="C1110:H1110"/>
    <mergeCell ref="C970:H970"/>
    <mergeCell ref="C1268:H1268"/>
    <mergeCell ref="C385:H385"/>
    <mergeCell ref="A592:H592"/>
    <mergeCell ref="B412:H412"/>
    <mergeCell ref="C354:H354"/>
    <mergeCell ref="C652:H652"/>
    <mergeCell ref="B1160:H1160"/>
    <mergeCell ref="C1257:H1257"/>
    <mergeCell ref="C225:H225"/>
    <mergeCell ref="B1168:H1168"/>
    <mergeCell ref="C654:H654"/>
    <mergeCell ref="C681:H681"/>
    <mergeCell ref="C952:H952"/>
    <mergeCell ref="C525:H525"/>
    <mergeCell ref="C1163:H1163"/>
    <mergeCell ref="C683:H683"/>
    <mergeCell ref="C981:H981"/>
    <mergeCell ref="A648:H648"/>
    <mergeCell ref="C403:H403"/>
    <mergeCell ref="C701:H701"/>
    <mergeCell ref="C1008:H1008"/>
    <mergeCell ref="C1130:H1130"/>
    <mergeCell ref="B432:H432"/>
    <mergeCell ref="C848:H848"/>
    <mergeCell ref="B1392:H1392"/>
    <mergeCell ref="C878:H878"/>
    <mergeCell ref="C579:H579"/>
    <mergeCell ref="B818:H818"/>
    <mergeCell ref="B776:H776"/>
    <mergeCell ref="B1118:H1118"/>
    <mergeCell ref="C1367:H1367"/>
    <mergeCell ref="C297:H297"/>
    <mergeCell ref="C299:H299"/>
    <mergeCell ref="C1352:H1352"/>
    <mergeCell ref="C597:H597"/>
    <mergeCell ref="C939:H939"/>
    <mergeCell ref="B1136:H1136"/>
    <mergeCell ref="C1353:H1353"/>
    <mergeCell ref="C325:H325"/>
    <mergeCell ref="B376:H376"/>
    <mergeCell ref="B1454:H1454"/>
    <mergeCell ref="C301:H301"/>
    <mergeCell ref="B692:H692"/>
    <mergeCell ref="C1115:H1115"/>
    <mergeCell ref="C1273:H1273"/>
    <mergeCell ref="C1415:H1415"/>
    <mergeCell ref="C1435:H1435"/>
    <mergeCell ref="B916:H916"/>
    <mergeCell ref="C1407:H1407"/>
    <mergeCell ref="C1417:H1417"/>
    <mergeCell ref="C1453:H1453"/>
    <mergeCell ref="C739:H739"/>
    <mergeCell ref="B832:H832"/>
    <mergeCell ref="C1449:H1449"/>
    <mergeCell ref="C1451:H1451"/>
    <mergeCell ref="C1438:H1438"/>
  </mergeCells>
  <pageMargins left="0.75" right="0.75" top="1" bottom="1" header="0.5" footer="0.5"/>
  <pageSetup orientation="portrait"/>
  <rowBreaks count="53" manualBreakCount="53">
    <brk id="30" max="16383" man="1"/>
    <brk id="58" max="16383" man="1"/>
    <brk id="86" max="16383" man="1"/>
    <brk id="114" max="16383" man="1"/>
    <brk id="142" max="16383" man="1"/>
    <brk id="170" max="16383" man="1"/>
    <brk id="198" max="16383" man="1"/>
    <brk id="226" max="16383" man="1"/>
    <brk id="254" max="16383" man="1"/>
    <brk id="282" max="16383" man="1"/>
    <brk id="310" max="16383" man="1"/>
    <brk id="338" max="16383" man="1"/>
    <brk id="366" max="16383" man="1"/>
    <brk id="394" max="16383" man="1"/>
    <brk id="422" max="16383" man="1"/>
    <brk id="450" max="16383" man="1"/>
    <brk id="478" max="16383" man="1"/>
    <brk id="506" max="16383" man="1"/>
    <brk id="534" max="16383" man="1"/>
    <brk id="562" max="16383" man="1"/>
    <brk id="590" max="16383" man="1"/>
    <brk id="618" max="16383" man="1"/>
    <brk id="646" max="16383" man="1"/>
    <brk id="674" max="16383" man="1"/>
    <brk id="702" max="16383" man="1"/>
    <brk id="730" max="16383" man="1"/>
    <brk id="758" max="16383" man="1"/>
    <brk id="786" max="16383" man="1"/>
    <brk id="814" max="16383" man="1"/>
    <brk id="842" max="16383" man="1"/>
    <brk id="870" max="16383" man="1"/>
    <brk id="898" max="16383" man="1"/>
    <brk id="926" max="16383" man="1"/>
    <brk id="954" max="16383" man="1"/>
    <brk id="982" max="16383" man="1"/>
    <brk id="1010" max="16383" man="1"/>
    <brk id="1038" max="16383" man="1"/>
    <brk id="1066" max="16383" man="1"/>
    <brk id="1094" max="16383" man="1"/>
    <brk id="1122" max="16383" man="1"/>
    <brk id="1150" max="16383" man="1"/>
    <brk id="1178" max="16383" man="1"/>
    <brk id="1206" max="16383" man="1"/>
    <brk id="1234" max="16383" man="1"/>
    <brk id="1262" max="16383" man="1"/>
    <brk id="1290" max="16383" man="1"/>
    <brk id="1318" max="16383" man="1"/>
    <brk id="1346" max="16383" man="1"/>
    <brk id="1374" max="16383" man="1"/>
    <brk id="1402" max="16383" man="1"/>
    <brk id="1430" max="16383" man="1"/>
    <brk id="1458" max="16383" man="1"/>
    <brk id="1486"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901"/>
  <sheetViews>
    <sheetView showGridLines="0" topLeftCell="A72" workbookViewId="0">
      <selection activeCell="C90" sqref="C90:H90"/>
    </sheetView>
  </sheetViews>
  <sheetFormatPr baseColWidth="10" defaultColWidth="9.109375" defaultRowHeight="14.4" x14ac:dyDescent="0.3"/>
  <cols>
    <col min="1" max="1" width="3" customWidth="1"/>
    <col min="2" max="2" width="32" customWidth="1"/>
    <col min="3" max="3" width="13" customWidth="1"/>
    <col min="4" max="8" width="10.44140625" customWidth="1"/>
  </cols>
  <sheetData>
    <row r="1" spans="1:8" ht="18" x14ac:dyDescent="0.35">
      <c r="A1" s="25" t="s">
        <v>1147</v>
      </c>
    </row>
    <row r="2" spans="1:8" x14ac:dyDescent="0.3">
      <c r="A2" s="26" t="s">
        <v>1148</v>
      </c>
    </row>
    <row r="4" spans="1:8" ht="21.9" customHeight="1" x14ac:dyDescent="0.3">
      <c r="A4" s="45" t="s">
        <v>1149</v>
      </c>
      <c r="B4" s="30"/>
      <c r="C4" s="30"/>
      <c r="D4" s="30"/>
      <c r="E4" s="30"/>
      <c r="F4" s="30"/>
      <c r="G4" s="30"/>
      <c r="H4" s="30"/>
    </row>
    <row r="6" spans="1:8" ht="15.9" customHeight="1" x14ac:dyDescent="0.3">
      <c r="B6" s="43" t="s">
        <v>3</v>
      </c>
      <c r="C6" s="30"/>
      <c r="D6" s="30"/>
      <c r="E6" s="30"/>
      <c r="F6" s="30"/>
      <c r="G6" s="30"/>
      <c r="H6" s="30"/>
    </row>
    <row r="7" spans="1:8" ht="18" customHeight="1" x14ac:dyDescent="0.3">
      <c r="B7" s="27" t="s">
        <v>286</v>
      </c>
      <c r="C7" s="44" t="s">
        <v>810</v>
      </c>
      <c r="D7" s="30"/>
      <c r="E7" s="30"/>
      <c r="F7" s="30"/>
      <c r="G7" s="30"/>
      <c r="H7" s="30"/>
    </row>
    <row r="8" spans="1:8" ht="18" customHeight="1" x14ac:dyDescent="0.3">
      <c r="B8" s="27" t="s">
        <v>287</v>
      </c>
      <c r="C8" s="44" t="s">
        <v>811</v>
      </c>
      <c r="D8" s="30"/>
      <c r="E8" s="30"/>
      <c r="F8" s="30"/>
      <c r="G8" s="30"/>
      <c r="H8" s="30"/>
    </row>
    <row r="9" spans="1:8" ht="18" customHeight="1" x14ac:dyDescent="0.3">
      <c r="B9" s="27" t="s">
        <v>288</v>
      </c>
      <c r="C9" s="44" t="s">
        <v>169</v>
      </c>
      <c r="D9" s="30"/>
      <c r="E9" s="30"/>
      <c r="F9" s="30"/>
      <c r="G9" s="30"/>
      <c r="H9" s="30"/>
    </row>
    <row r="10" spans="1:8" ht="18" customHeight="1" x14ac:dyDescent="0.3">
      <c r="B10" s="27" t="s">
        <v>289</v>
      </c>
      <c r="C10" s="44" t="s">
        <v>1093</v>
      </c>
      <c r="D10" s="30"/>
      <c r="E10" s="30"/>
      <c r="F10" s="30"/>
      <c r="G10" s="30"/>
      <c r="H10" s="30"/>
    </row>
    <row r="11" spans="1:8" ht="18" customHeight="1" x14ac:dyDescent="0.3">
      <c r="B11" s="27" t="s">
        <v>290</v>
      </c>
      <c r="C11" s="44" t="s">
        <v>166</v>
      </c>
      <c r="D11" s="30"/>
      <c r="E11" s="30"/>
      <c r="F11" s="30"/>
      <c r="G11" s="30"/>
      <c r="H11" s="30"/>
    </row>
    <row r="12" spans="1:8" ht="15.9" customHeight="1" x14ac:dyDescent="0.3">
      <c r="B12" s="43" t="s">
        <v>282</v>
      </c>
      <c r="C12" s="30"/>
      <c r="D12" s="30"/>
      <c r="E12" s="30"/>
      <c r="F12" s="30"/>
      <c r="G12" s="30"/>
      <c r="H12" s="30"/>
    </row>
    <row r="13" spans="1:8" ht="30.9" customHeight="1" x14ac:dyDescent="0.3">
      <c r="B13" s="27" t="s">
        <v>291</v>
      </c>
      <c r="C13" s="44" t="s">
        <v>812</v>
      </c>
      <c r="D13" s="30"/>
      <c r="E13" s="30"/>
      <c r="F13" s="30"/>
      <c r="G13" s="30"/>
      <c r="H13" s="30"/>
    </row>
    <row r="14" spans="1:8" ht="18" customHeight="1" x14ac:dyDescent="0.3">
      <c r="B14" s="27" t="s">
        <v>292</v>
      </c>
      <c r="C14" s="44" t="s">
        <v>306</v>
      </c>
      <c r="D14" s="30"/>
      <c r="E14" s="30"/>
      <c r="F14" s="30"/>
      <c r="G14" s="30"/>
      <c r="H14" s="30"/>
    </row>
    <row r="15" spans="1:8" ht="44.1" customHeight="1" x14ac:dyDescent="0.3">
      <c r="B15" s="27" t="s">
        <v>293</v>
      </c>
      <c r="C15" s="44" t="s">
        <v>813</v>
      </c>
      <c r="D15" s="30"/>
      <c r="E15" s="30"/>
      <c r="F15" s="30"/>
      <c r="G15" s="30"/>
      <c r="H15" s="30"/>
    </row>
    <row r="16" spans="1:8" ht="15.9" customHeight="1" x14ac:dyDescent="0.3">
      <c r="B16" s="43" t="s">
        <v>283</v>
      </c>
      <c r="C16" s="30"/>
      <c r="D16" s="30"/>
      <c r="E16" s="30"/>
      <c r="F16" s="30"/>
      <c r="G16" s="30"/>
      <c r="H16" s="30"/>
    </row>
    <row r="17" spans="2:8" ht="18" customHeight="1" x14ac:dyDescent="0.3">
      <c r="B17" s="27" t="s">
        <v>802</v>
      </c>
      <c r="C17" s="44" t="s">
        <v>1150</v>
      </c>
      <c r="D17" s="30"/>
      <c r="E17" s="30"/>
      <c r="F17" s="30"/>
      <c r="G17" s="30"/>
      <c r="H17" s="30"/>
    </row>
    <row r="18" spans="2:8" ht="18" customHeight="1" x14ac:dyDescent="0.3">
      <c r="B18" s="27" t="s">
        <v>803</v>
      </c>
      <c r="C18" s="44" t="s">
        <v>814</v>
      </c>
      <c r="D18" s="30"/>
      <c r="E18" s="30"/>
      <c r="F18" s="30"/>
      <c r="G18" s="30"/>
      <c r="H18" s="30"/>
    </row>
    <row r="19" spans="2:8" ht="18" customHeight="1" x14ac:dyDescent="0.3">
      <c r="B19" s="27" t="s">
        <v>294</v>
      </c>
      <c r="C19" s="44" t="s">
        <v>308</v>
      </c>
      <c r="D19" s="30"/>
      <c r="E19" s="30"/>
      <c r="F19" s="30"/>
      <c r="G19" s="30"/>
      <c r="H19" s="30"/>
    </row>
    <row r="20" spans="2:8" ht="18" customHeight="1" x14ac:dyDescent="0.3">
      <c r="B20" s="27" t="s">
        <v>295</v>
      </c>
      <c r="C20" s="44" t="s">
        <v>309</v>
      </c>
      <c r="D20" s="30"/>
      <c r="E20" s="30"/>
      <c r="F20" s="30"/>
      <c r="G20" s="30"/>
      <c r="H20" s="30"/>
    </row>
    <row r="21" spans="2:8" ht="18" customHeight="1" x14ac:dyDescent="0.3">
      <c r="B21" s="27" t="s">
        <v>296</v>
      </c>
      <c r="C21" s="44" t="s">
        <v>310</v>
      </c>
      <c r="D21" s="30"/>
      <c r="E21" s="30"/>
      <c r="F21" s="30"/>
      <c r="G21" s="30"/>
      <c r="H21" s="30"/>
    </row>
    <row r="22" spans="2:8" ht="15.9" customHeight="1" x14ac:dyDescent="0.3">
      <c r="B22" s="43" t="s">
        <v>801</v>
      </c>
      <c r="C22" s="30"/>
      <c r="D22" s="30"/>
      <c r="E22" s="30"/>
      <c r="F22" s="30"/>
      <c r="G22" s="30"/>
      <c r="H22" s="30"/>
    </row>
    <row r="23" spans="2:8" ht="30.9" customHeight="1" x14ac:dyDescent="0.3">
      <c r="B23" s="27" t="s">
        <v>804</v>
      </c>
      <c r="C23" s="44" t="s">
        <v>815</v>
      </c>
      <c r="D23" s="30"/>
      <c r="E23" s="30"/>
      <c r="F23" s="30"/>
      <c r="G23" s="30"/>
      <c r="H23" s="30"/>
    </row>
    <row r="24" spans="2:8" ht="18" customHeight="1" x14ac:dyDescent="0.3">
      <c r="B24" s="27" t="s">
        <v>805</v>
      </c>
      <c r="C24" s="44" t="s">
        <v>816</v>
      </c>
      <c r="D24" s="30"/>
      <c r="E24" s="30"/>
      <c r="F24" s="30"/>
      <c r="G24" s="30"/>
      <c r="H24" s="30"/>
    </row>
    <row r="25" spans="2:8" ht="18" customHeight="1" x14ac:dyDescent="0.3">
      <c r="B25" s="27" t="s">
        <v>806</v>
      </c>
      <c r="C25" s="44" t="s">
        <v>817</v>
      </c>
      <c r="D25" s="30"/>
      <c r="E25" s="30"/>
      <c r="F25" s="30"/>
      <c r="G25" s="30"/>
      <c r="H25" s="30"/>
    </row>
    <row r="26" spans="2:8" ht="18" customHeight="1" x14ac:dyDescent="0.3">
      <c r="B26" s="27" t="s">
        <v>807</v>
      </c>
      <c r="C26" s="44" t="s">
        <v>818</v>
      </c>
      <c r="D26" s="30"/>
      <c r="E26" s="30"/>
      <c r="F26" s="30"/>
      <c r="G26" s="30"/>
      <c r="H26" s="30"/>
    </row>
    <row r="27" spans="2:8" ht="18" customHeight="1" x14ac:dyDescent="0.3">
      <c r="B27" s="27" t="s">
        <v>808</v>
      </c>
      <c r="C27" s="44" t="s">
        <v>819</v>
      </c>
      <c r="D27" s="30"/>
      <c r="E27" s="30"/>
      <c r="F27" s="30"/>
      <c r="G27" s="30"/>
      <c r="H27" s="30"/>
    </row>
    <row r="28" spans="2:8" ht="15.9" customHeight="1" x14ac:dyDescent="0.3">
      <c r="B28" s="43" t="s">
        <v>285</v>
      </c>
      <c r="C28" s="30"/>
      <c r="D28" s="30"/>
      <c r="E28" s="30"/>
      <c r="F28" s="30"/>
      <c r="G28" s="30"/>
      <c r="H28" s="30"/>
    </row>
    <row r="29" spans="2:8" ht="18" customHeight="1" x14ac:dyDescent="0.3">
      <c r="B29" s="27" t="s">
        <v>809</v>
      </c>
      <c r="C29" s="44" t="s">
        <v>820</v>
      </c>
      <c r="D29" s="30"/>
      <c r="E29" s="30"/>
      <c r="F29" s="30"/>
      <c r="G29" s="30"/>
      <c r="H29" s="30"/>
    </row>
    <row r="30" spans="2:8" ht="18" customHeight="1" x14ac:dyDescent="0.3">
      <c r="B30" s="27" t="s">
        <v>302</v>
      </c>
      <c r="C30" s="44" t="s">
        <v>313</v>
      </c>
      <c r="D30" s="30"/>
      <c r="E30" s="30"/>
      <c r="F30" s="30"/>
      <c r="G30" s="30"/>
      <c r="H30" s="30"/>
    </row>
    <row r="31" spans="2:8" ht="30.9" customHeight="1" x14ac:dyDescent="0.3">
      <c r="B31" s="27" t="s">
        <v>304</v>
      </c>
      <c r="C31" s="44" t="s">
        <v>821</v>
      </c>
      <c r="D31" s="30"/>
      <c r="E31" s="30"/>
      <c r="F31" s="30"/>
      <c r="G31" s="30"/>
      <c r="H31" s="30"/>
    </row>
    <row r="34" spans="1:8" ht="21.9" customHeight="1" x14ac:dyDescent="0.3">
      <c r="A34" s="45" t="s">
        <v>1151</v>
      </c>
      <c r="B34" s="30"/>
      <c r="C34" s="30"/>
      <c r="D34" s="30"/>
      <c r="E34" s="30"/>
      <c r="F34" s="30"/>
      <c r="G34" s="30"/>
      <c r="H34" s="30"/>
    </row>
    <row r="36" spans="1:8" ht="15.9" customHeight="1" x14ac:dyDescent="0.3">
      <c r="B36" s="43" t="s">
        <v>3</v>
      </c>
      <c r="C36" s="30"/>
      <c r="D36" s="30"/>
      <c r="E36" s="30"/>
      <c r="F36" s="30"/>
      <c r="G36" s="30"/>
      <c r="H36" s="30"/>
    </row>
    <row r="37" spans="1:8" ht="18" customHeight="1" x14ac:dyDescent="0.3">
      <c r="B37" s="27" t="s">
        <v>286</v>
      </c>
      <c r="C37" s="44" t="s">
        <v>822</v>
      </c>
      <c r="D37" s="30"/>
      <c r="E37" s="30"/>
      <c r="F37" s="30"/>
      <c r="G37" s="30"/>
      <c r="H37" s="30"/>
    </row>
    <row r="38" spans="1:8" ht="18" customHeight="1" x14ac:dyDescent="0.3">
      <c r="B38" s="27" t="s">
        <v>287</v>
      </c>
      <c r="C38" s="44" t="s">
        <v>823</v>
      </c>
      <c r="D38" s="30"/>
      <c r="E38" s="30"/>
      <c r="F38" s="30"/>
      <c r="G38" s="30"/>
      <c r="H38" s="30"/>
    </row>
    <row r="39" spans="1:8" ht="18" customHeight="1" x14ac:dyDescent="0.3">
      <c r="B39" s="27" t="s">
        <v>288</v>
      </c>
      <c r="C39" s="44" t="s">
        <v>169</v>
      </c>
      <c r="D39" s="30"/>
      <c r="E39" s="30"/>
      <c r="F39" s="30"/>
      <c r="G39" s="30"/>
      <c r="H39" s="30"/>
    </row>
    <row r="40" spans="1:8" ht="18" customHeight="1" x14ac:dyDescent="0.3">
      <c r="B40" s="27" t="s">
        <v>289</v>
      </c>
      <c r="C40" s="44" t="s">
        <v>1093</v>
      </c>
      <c r="D40" s="30"/>
      <c r="E40" s="30"/>
      <c r="F40" s="30"/>
      <c r="G40" s="30"/>
      <c r="H40" s="30"/>
    </row>
    <row r="41" spans="1:8" ht="18" customHeight="1" x14ac:dyDescent="0.3">
      <c r="B41" s="27" t="s">
        <v>290</v>
      </c>
      <c r="C41" s="44" t="s">
        <v>166</v>
      </c>
      <c r="D41" s="30"/>
      <c r="E41" s="30"/>
      <c r="F41" s="30"/>
      <c r="G41" s="30"/>
      <c r="H41" s="30"/>
    </row>
    <row r="42" spans="1:8" ht="15.9" customHeight="1" x14ac:dyDescent="0.3">
      <c r="B42" s="43" t="s">
        <v>282</v>
      </c>
      <c r="C42" s="30"/>
      <c r="D42" s="30"/>
      <c r="E42" s="30"/>
      <c r="F42" s="30"/>
      <c r="G42" s="30"/>
      <c r="H42" s="30"/>
    </row>
    <row r="43" spans="1:8" ht="30.9" customHeight="1" x14ac:dyDescent="0.3">
      <c r="B43" s="27" t="s">
        <v>291</v>
      </c>
      <c r="C43" s="44" t="s">
        <v>824</v>
      </c>
      <c r="D43" s="30"/>
      <c r="E43" s="30"/>
      <c r="F43" s="30"/>
      <c r="G43" s="30"/>
      <c r="H43" s="30"/>
    </row>
    <row r="44" spans="1:8" ht="18" customHeight="1" x14ac:dyDescent="0.3">
      <c r="B44" s="27" t="s">
        <v>292</v>
      </c>
      <c r="C44" s="44" t="s">
        <v>306</v>
      </c>
      <c r="D44" s="30"/>
      <c r="E44" s="30"/>
      <c r="F44" s="30"/>
      <c r="G44" s="30"/>
      <c r="H44" s="30"/>
    </row>
    <row r="45" spans="1:8" ht="57" customHeight="1" x14ac:dyDescent="0.3">
      <c r="B45" s="27" t="s">
        <v>293</v>
      </c>
      <c r="C45" s="44" t="s">
        <v>825</v>
      </c>
      <c r="D45" s="30"/>
      <c r="E45" s="30"/>
      <c r="F45" s="30"/>
      <c r="G45" s="30"/>
      <c r="H45" s="30"/>
    </row>
    <row r="46" spans="1:8" ht="15.9" customHeight="1" x14ac:dyDescent="0.3">
      <c r="B46" s="43" t="s">
        <v>283</v>
      </c>
      <c r="C46" s="30"/>
      <c r="D46" s="30"/>
      <c r="E46" s="30"/>
      <c r="F46" s="30"/>
      <c r="G46" s="30"/>
      <c r="H46" s="30"/>
    </row>
    <row r="47" spans="1:8" ht="18" customHeight="1" x14ac:dyDescent="0.3">
      <c r="B47" s="27" t="s">
        <v>802</v>
      </c>
      <c r="C47" s="44" t="s">
        <v>1150</v>
      </c>
      <c r="D47" s="30"/>
      <c r="E47" s="30"/>
      <c r="F47" s="30"/>
      <c r="G47" s="30"/>
      <c r="H47" s="30"/>
    </row>
    <row r="48" spans="1:8" ht="18" customHeight="1" x14ac:dyDescent="0.3">
      <c r="B48" s="27" t="s">
        <v>803</v>
      </c>
      <c r="C48" s="44" t="s">
        <v>826</v>
      </c>
      <c r="D48" s="30"/>
      <c r="E48" s="30"/>
      <c r="F48" s="30"/>
      <c r="G48" s="30"/>
      <c r="H48" s="30"/>
    </row>
    <row r="49" spans="1:8" ht="18" customHeight="1" x14ac:dyDescent="0.3">
      <c r="B49" s="27" t="s">
        <v>294</v>
      </c>
      <c r="C49" s="44" t="s">
        <v>308</v>
      </c>
      <c r="D49" s="30"/>
      <c r="E49" s="30"/>
      <c r="F49" s="30"/>
      <c r="G49" s="30"/>
      <c r="H49" s="30"/>
    </row>
    <row r="50" spans="1:8" ht="18" customHeight="1" x14ac:dyDescent="0.3">
      <c r="B50" s="27" t="s">
        <v>295</v>
      </c>
      <c r="C50" s="44" t="s">
        <v>309</v>
      </c>
      <c r="D50" s="30"/>
      <c r="E50" s="30"/>
      <c r="F50" s="30"/>
      <c r="G50" s="30"/>
      <c r="H50" s="30"/>
    </row>
    <row r="51" spans="1:8" ht="18" customHeight="1" x14ac:dyDescent="0.3">
      <c r="B51" s="27" t="s">
        <v>296</v>
      </c>
      <c r="C51" s="44" t="s">
        <v>509</v>
      </c>
      <c r="D51" s="30"/>
      <c r="E51" s="30"/>
      <c r="F51" s="30"/>
      <c r="G51" s="30"/>
      <c r="H51" s="30"/>
    </row>
    <row r="52" spans="1:8" ht="15.9" customHeight="1" x14ac:dyDescent="0.3">
      <c r="B52" s="43" t="s">
        <v>801</v>
      </c>
      <c r="C52" s="30"/>
      <c r="D52" s="30"/>
      <c r="E52" s="30"/>
      <c r="F52" s="30"/>
      <c r="G52" s="30"/>
      <c r="H52" s="30"/>
    </row>
    <row r="53" spans="1:8" ht="30.9" customHeight="1" x14ac:dyDescent="0.3">
      <c r="B53" s="27" t="s">
        <v>804</v>
      </c>
      <c r="C53" s="44" t="s">
        <v>827</v>
      </c>
      <c r="D53" s="30"/>
      <c r="E53" s="30"/>
      <c r="F53" s="30"/>
      <c r="G53" s="30"/>
      <c r="H53" s="30"/>
    </row>
    <row r="54" spans="1:8" ht="18" customHeight="1" x14ac:dyDescent="0.3">
      <c r="B54" s="27" t="s">
        <v>805</v>
      </c>
      <c r="C54" s="44" t="s">
        <v>816</v>
      </c>
      <c r="D54" s="30"/>
      <c r="E54" s="30"/>
      <c r="F54" s="30"/>
      <c r="G54" s="30"/>
      <c r="H54" s="30"/>
    </row>
    <row r="55" spans="1:8" ht="18" customHeight="1" x14ac:dyDescent="0.3">
      <c r="B55" s="27" t="s">
        <v>806</v>
      </c>
      <c r="C55" s="44" t="s">
        <v>828</v>
      </c>
      <c r="D55" s="30"/>
      <c r="E55" s="30"/>
      <c r="F55" s="30"/>
      <c r="G55" s="30"/>
      <c r="H55" s="30"/>
    </row>
    <row r="56" spans="1:8" ht="18" customHeight="1" x14ac:dyDescent="0.3">
      <c r="B56" s="27" t="s">
        <v>807</v>
      </c>
      <c r="C56" s="44" t="s">
        <v>829</v>
      </c>
      <c r="D56" s="30"/>
      <c r="E56" s="30"/>
      <c r="F56" s="30"/>
      <c r="G56" s="30"/>
      <c r="H56" s="30"/>
    </row>
    <row r="57" spans="1:8" ht="18" customHeight="1" x14ac:dyDescent="0.3">
      <c r="B57" s="27" t="s">
        <v>808</v>
      </c>
      <c r="C57" s="44" t="s">
        <v>830</v>
      </c>
      <c r="D57" s="30"/>
      <c r="E57" s="30"/>
      <c r="F57" s="30"/>
      <c r="G57" s="30"/>
      <c r="H57" s="30"/>
    </row>
    <row r="58" spans="1:8" ht="15.9" customHeight="1" x14ac:dyDescent="0.3">
      <c r="B58" s="43" t="s">
        <v>285</v>
      </c>
      <c r="C58" s="30"/>
      <c r="D58" s="30"/>
      <c r="E58" s="30"/>
      <c r="F58" s="30"/>
      <c r="G58" s="30"/>
      <c r="H58" s="30"/>
    </row>
    <row r="59" spans="1:8" ht="18" customHeight="1" x14ac:dyDescent="0.3">
      <c r="B59" s="27" t="s">
        <v>809</v>
      </c>
      <c r="C59" s="44" t="s">
        <v>831</v>
      </c>
      <c r="D59" s="30"/>
      <c r="E59" s="30"/>
      <c r="F59" s="30"/>
      <c r="G59" s="30"/>
      <c r="H59" s="30"/>
    </row>
    <row r="60" spans="1:8" ht="18" customHeight="1" x14ac:dyDescent="0.3">
      <c r="B60" s="27" t="s">
        <v>302</v>
      </c>
      <c r="C60" s="44" t="s">
        <v>313</v>
      </c>
      <c r="D60" s="30"/>
      <c r="E60" s="30"/>
      <c r="F60" s="30"/>
      <c r="G60" s="30"/>
      <c r="H60" s="30"/>
    </row>
    <row r="61" spans="1:8" ht="30.9" customHeight="1" x14ac:dyDescent="0.3">
      <c r="B61" s="27" t="s">
        <v>304</v>
      </c>
      <c r="C61" s="44" t="s">
        <v>832</v>
      </c>
      <c r="D61" s="30"/>
      <c r="E61" s="30"/>
      <c r="F61" s="30"/>
      <c r="G61" s="30"/>
      <c r="H61" s="30"/>
    </row>
    <row r="64" spans="1:8" ht="21.9" customHeight="1" x14ac:dyDescent="0.3">
      <c r="A64" s="45" t="s">
        <v>1152</v>
      </c>
      <c r="B64" s="30"/>
      <c r="C64" s="30"/>
      <c r="D64" s="30"/>
      <c r="E64" s="30"/>
      <c r="F64" s="30"/>
      <c r="G64" s="30"/>
      <c r="H64" s="30"/>
    </row>
    <row r="66" spans="2:8" ht="15.9" customHeight="1" x14ac:dyDescent="0.3">
      <c r="B66" s="43" t="s">
        <v>3</v>
      </c>
      <c r="C66" s="30"/>
      <c r="D66" s="30"/>
      <c r="E66" s="30"/>
      <c r="F66" s="30"/>
      <c r="G66" s="30"/>
      <c r="H66" s="30"/>
    </row>
    <row r="67" spans="2:8" ht="18" customHeight="1" x14ac:dyDescent="0.3">
      <c r="B67" s="27" t="s">
        <v>286</v>
      </c>
      <c r="C67" s="44" t="s">
        <v>833</v>
      </c>
      <c r="D67" s="30"/>
      <c r="E67" s="30"/>
      <c r="F67" s="30"/>
      <c r="G67" s="30"/>
      <c r="H67" s="30"/>
    </row>
    <row r="68" spans="2:8" ht="18" customHeight="1" x14ac:dyDescent="0.3">
      <c r="B68" s="27" t="s">
        <v>287</v>
      </c>
      <c r="C68" s="44" t="s">
        <v>834</v>
      </c>
      <c r="D68" s="30"/>
      <c r="E68" s="30"/>
      <c r="F68" s="30"/>
      <c r="G68" s="30"/>
      <c r="H68" s="30"/>
    </row>
    <row r="69" spans="2:8" ht="18" customHeight="1" x14ac:dyDescent="0.3">
      <c r="B69" s="27" t="s">
        <v>288</v>
      </c>
      <c r="C69" s="44" t="s">
        <v>169</v>
      </c>
      <c r="D69" s="30"/>
      <c r="E69" s="30"/>
      <c r="F69" s="30"/>
      <c r="G69" s="30"/>
      <c r="H69" s="30"/>
    </row>
    <row r="70" spans="2:8" ht="18" customHeight="1" x14ac:dyDescent="0.3">
      <c r="B70" s="27" t="s">
        <v>289</v>
      </c>
      <c r="C70" s="44" t="s">
        <v>1093</v>
      </c>
      <c r="D70" s="30"/>
      <c r="E70" s="30"/>
      <c r="F70" s="30"/>
      <c r="G70" s="30"/>
      <c r="H70" s="30"/>
    </row>
    <row r="71" spans="2:8" ht="18" customHeight="1" x14ac:dyDescent="0.3">
      <c r="B71" s="27" t="s">
        <v>290</v>
      </c>
      <c r="C71" s="44" t="s">
        <v>166</v>
      </c>
      <c r="D71" s="30"/>
      <c r="E71" s="30"/>
      <c r="F71" s="30"/>
      <c r="G71" s="30"/>
      <c r="H71" s="30"/>
    </row>
    <row r="72" spans="2:8" ht="15.9" customHeight="1" x14ac:dyDescent="0.3">
      <c r="B72" s="43" t="s">
        <v>282</v>
      </c>
      <c r="C72" s="30"/>
      <c r="D72" s="30"/>
      <c r="E72" s="30"/>
      <c r="F72" s="30"/>
      <c r="G72" s="30"/>
      <c r="H72" s="30"/>
    </row>
    <row r="73" spans="2:8" ht="30.9" customHeight="1" x14ac:dyDescent="0.3">
      <c r="B73" s="27" t="s">
        <v>291</v>
      </c>
      <c r="C73" s="44" t="s">
        <v>835</v>
      </c>
      <c r="D73" s="30"/>
      <c r="E73" s="30"/>
      <c r="F73" s="30"/>
      <c r="G73" s="30"/>
      <c r="H73" s="30"/>
    </row>
    <row r="74" spans="2:8" ht="18" customHeight="1" x14ac:dyDescent="0.3">
      <c r="B74" s="27" t="s">
        <v>292</v>
      </c>
      <c r="C74" s="44" t="s">
        <v>306</v>
      </c>
      <c r="D74" s="30"/>
      <c r="E74" s="30"/>
      <c r="F74" s="30"/>
      <c r="G74" s="30"/>
      <c r="H74" s="30"/>
    </row>
    <row r="75" spans="2:8" ht="30.9" customHeight="1" x14ac:dyDescent="0.3">
      <c r="B75" s="27" t="s">
        <v>293</v>
      </c>
      <c r="C75" s="44" t="s">
        <v>836</v>
      </c>
      <c r="D75" s="30"/>
      <c r="E75" s="30"/>
      <c r="F75" s="30"/>
      <c r="G75" s="30"/>
      <c r="H75" s="30"/>
    </row>
    <row r="76" spans="2:8" ht="15.9" customHeight="1" x14ac:dyDescent="0.3">
      <c r="B76" s="43" t="s">
        <v>283</v>
      </c>
      <c r="C76" s="30"/>
      <c r="D76" s="30"/>
      <c r="E76" s="30"/>
      <c r="F76" s="30"/>
      <c r="G76" s="30"/>
      <c r="H76" s="30"/>
    </row>
    <row r="77" spans="2:8" ht="18" customHeight="1" x14ac:dyDescent="0.3">
      <c r="B77" s="27" t="s">
        <v>802</v>
      </c>
      <c r="C77" s="44" t="s">
        <v>1150</v>
      </c>
      <c r="D77" s="30"/>
      <c r="E77" s="30"/>
      <c r="F77" s="30"/>
      <c r="G77" s="30"/>
      <c r="H77" s="30"/>
    </row>
    <row r="78" spans="2:8" ht="18" customHeight="1" x14ac:dyDescent="0.3">
      <c r="B78" s="27" t="s">
        <v>803</v>
      </c>
      <c r="C78" s="44" t="s">
        <v>814</v>
      </c>
      <c r="D78" s="30"/>
      <c r="E78" s="30"/>
      <c r="F78" s="30"/>
      <c r="G78" s="30"/>
      <c r="H78" s="30"/>
    </row>
    <row r="79" spans="2:8" ht="18" customHeight="1" x14ac:dyDescent="0.3">
      <c r="B79" s="27" t="s">
        <v>294</v>
      </c>
      <c r="C79" s="44" t="s">
        <v>308</v>
      </c>
      <c r="D79" s="30"/>
      <c r="E79" s="30"/>
      <c r="F79" s="30"/>
      <c r="G79" s="30"/>
      <c r="H79" s="30"/>
    </row>
    <row r="80" spans="2:8" ht="18" customHeight="1" x14ac:dyDescent="0.3">
      <c r="B80" s="27" t="s">
        <v>295</v>
      </c>
      <c r="C80" s="44" t="s">
        <v>309</v>
      </c>
      <c r="D80" s="30"/>
      <c r="E80" s="30"/>
      <c r="F80" s="30"/>
      <c r="G80" s="30"/>
      <c r="H80" s="30"/>
    </row>
    <row r="81" spans="1:8" ht="18" customHeight="1" x14ac:dyDescent="0.3">
      <c r="B81" s="27" t="s">
        <v>296</v>
      </c>
      <c r="C81" s="44" t="s">
        <v>310</v>
      </c>
      <c r="D81" s="30"/>
      <c r="E81" s="30"/>
      <c r="F81" s="30"/>
      <c r="G81" s="30"/>
      <c r="H81" s="30"/>
    </row>
    <row r="82" spans="1:8" ht="15.9" customHeight="1" x14ac:dyDescent="0.3">
      <c r="B82" s="43" t="s">
        <v>801</v>
      </c>
      <c r="C82" s="30"/>
      <c r="D82" s="30"/>
      <c r="E82" s="30"/>
      <c r="F82" s="30"/>
      <c r="G82" s="30"/>
      <c r="H82" s="30"/>
    </row>
    <row r="83" spans="1:8" ht="30.9" customHeight="1" x14ac:dyDescent="0.3">
      <c r="B83" s="27" t="s">
        <v>804</v>
      </c>
      <c r="C83" s="44" t="s">
        <v>837</v>
      </c>
      <c r="D83" s="30"/>
      <c r="E83" s="30"/>
      <c r="F83" s="30"/>
      <c r="G83" s="30"/>
      <c r="H83" s="30"/>
    </row>
    <row r="84" spans="1:8" ht="18" customHeight="1" x14ac:dyDescent="0.3">
      <c r="B84" s="27" t="s">
        <v>805</v>
      </c>
      <c r="C84" s="44" t="s">
        <v>838</v>
      </c>
      <c r="D84" s="30"/>
      <c r="E84" s="30"/>
      <c r="F84" s="30"/>
      <c r="G84" s="30"/>
      <c r="H84" s="30"/>
    </row>
    <row r="85" spans="1:8" ht="18" customHeight="1" x14ac:dyDescent="0.3">
      <c r="B85" s="27" t="s">
        <v>806</v>
      </c>
      <c r="C85" s="44" t="s">
        <v>839</v>
      </c>
      <c r="D85" s="30"/>
      <c r="E85" s="30"/>
      <c r="F85" s="30"/>
      <c r="G85" s="30"/>
      <c r="H85" s="30"/>
    </row>
    <row r="86" spans="1:8" ht="30.9" customHeight="1" x14ac:dyDescent="0.3">
      <c r="B86" s="27" t="s">
        <v>807</v>
      </c>
      <c r="C86" s="44" t="s">
        <v>840</v>
      </c>
      <c r="D86" s="30"/>
      <c r="E86" s="30"/>
      <c r="F86" s="30"/>
      <c r="G86" s="30"/>
      <c r="H86" s="30"/>
    </row>
    <row r="87" spans="1:8" ht="18" customHeight="1" x14ac:dyDescent="0.3">
      <c r="B87" s="27" t="s">
        <v>808</v>
      </c>
      <c r="C87" s="44" t="s">
        <v>830</v>
      </c>
      <c r="D87" s="30"/>
      <c r="E87" s="30"/>
      <c r="F87" s="30"/>
      <c r="G87" s="30"/>
      <c r="H87" s="30"/>
    </row>
    <row r="88" spans="1:8" ht="15.9" customHeight="1" x14ac:dyDescent="0.3">
      <c r="B88" s="43" t="s">
        <v>285</v>
      </c>
      <c r="C88" s="30"/>
      <c r="D88" s="30"/>
      <c r="E88" s="30"/>
      <c r="F88" s="30"/>
      <c r="G88" s="30"/>
      <c r="H88" s="30"/>
    </row>
    <row r="89" spans="1:8" ht="18" customHeight="1" x14ac:dyDescent="0.3">
      <c r="B89" s="27" t="s">
        <v>809</v>
      </c>
      <c r="C89" s="44" t="s">
        <v>1401</v>
      </c>
      <c r="D89" s="30"/>
      <c r="E89" s="30"/>
      <c r="F89" s="30"/>
      <c r="G89" s="30"/>
      <c r="H89" s="30"/>
    </row>
    <row r="90" spans="1:8" ht="18" customHeight="1" x14ac:dyDescent="0.3">
      <c r="B90" s="27" t="s">
        <v>302</v>
      </c>
      <c r="C90" s="44" t="s">
        <v>822</v>
      </c>
      <c r="D90" s="30"/>
      <c r="E90" s="30"/>
      <c r="F90" s="30"/>
      <c r="G90" s="30"/>
      <c r="H90" s="30"/>
    </row>
    <row r="91" spans="1:8" ht="18" customHeight="1" x14ac:dyDescent="0.3">
      <c r="B91" s="27" t="s">
        <v>304</v>
      </c>
      <c r="C91" s="44" t="s">
        <v>1095</v>
      </c>
      <c r="D91" s="30"/>
      <c r="E91" s="30"/>
      <c r="F91" s="30"/>
      <c r="G91" s="30"/>
      <c r="H91" s="30"/>
    </row>
    <row r="94" spans="1:8" ht="21.9" customHeight="1" x14ac:dyDescent="0.3">
      <c r="A94" s="45" t="s">
        <v>1153</v>
      </c>
      <c r="B94" s="30"/>
      <c r="C94" s="30"/>
      <c r="D94" s="30"/>
      <c r="E94" s="30"/>
      <c r="F94" s="30"/>
      <c r="G94" s="30"/>
      <c r="H94" s="30"/>
    </row>
    <row r="96" spans="1:8" ht="15.9" customHeight="1" x14ac:dyDescent="0.3">
      <c r="B96" s="43" t="s">
        <v>3</v>
      </c>
      <c r="C96" s="30"/>
      <c r="D96" s="30"/>
      <c r="E96" s="30"/>
      <c r="F96" s="30"/>
      <c r="G96" s="30"/>
      <c r="H96" s="30"/>
    </row>
    <row r="97" spans="2:8" ht="18" customHeight="1" x14ac:dyDescent="0.3">
      <c r="B97" s="27" t="s">
        <v>286</v>
      </c>
      <c r="C97" s="44" t="s">
        <v>841</v>
      </c>
      <c r="D97" s="30"/>
      <c r="E97" s="30"/>
      <c r="F97" s="30"/>
      <c r="G97" s="30"/>
      <c r="H97" s="30"/>
    </row>
    <row r="98" spans="2:8" ht="18" customHeight="1" x14ac:dyDescent="0.3">
      <c r="B98" s="27" t="s">
        <v>287</v>
      </c>
      <c r="C98" s="44" t="s">
        <v>842</v>
      </c>
      <c r="D98" s="30"/>
      <c r="E98" s="30"/>
      <c r="F98" s="30"/>
      <c r="G98" s="30"/>
      <c r="H98" s="30"/>
    </row>
    <row r="99" spans="2:8" ht="18" customHeight="1" x14ac:dyDescent="0.3">
      <c r="B99" s="27" t="s">
        <v>288</v>
      </c>
      <c r="C99" s="44" t="s">
        <v>169</v>
      </c>
      <c r="D99" s="30"/>
      <c r="E99" s="30"/>
      <c r="F99" s="30"/>
      <c r="G99" s="30"/>
      <c r="H99" s="30"/>
    </row>
    <row r="100" spans="2:8" ht="18" customHeight="1" x14ac:dyDescent="0.3">
      <c r="B100" s="27" t="s">
        <v>289</v>
      </c>
      <c r="C100" s="44" t="s">
        <v>1093</v>
      </c>
      <c r="D100" s="30"/>
      <c r="E100" s="30"/>
      <c r="F100" s="30"/>
      <c r="G100" s="30"/>
      <c r="H100" s="30"/>
    </row>
    <row r="101" spans="2:8" ht="18" customHeight="1" x14ac:dyDescent="0.3">
      <c r="B101" s="27" t="s">
        <v>290</v>
      </c>
      <c r="C101" s="44" t="s">
        <v>166</v>
      </c>
      <c r="D101" s="30"/>
      <c r="E101" s="30"/>
      <c r="F101" s="30"/>
      <c r="G101" s="30"/>
      <c r="H101" s="30"/>
    </row>
    <row r="102" spans="2:8" ht="15.9" customHeight="1" x14ac:dyDescent="0.3">
      <c r="B102" s="43" t="s">
        <v>282</v>
      </c>
      <c r="C102" s="30"/>
      <c r="D102" s="30"/>
      <c r="E102" s="30"/>
      <c r="F102" s="30"/>
      <c r="G102" s="30"/>
      <c r="H102" s="30"/>
    </row>
    <row r="103" spans="2:8" ht="44.1" customHeight="1" x14ac:dyDescent="0.3">
      <c r="B103" s="27" t="s">
        <v>291</v>
      </c>
      <c r="C103" s="44" t="s">
        <v>843</v>
      </c>
      <c r="D103" s="30"/>
      <c r="E103" s="30"/>
      <c r="F103" s="30"/>
      <c r="G103" s="30"/>
      <c r="H103" s="30"/>
    </row>
    <row r="104" spans="2:8" ht="18" customHeight="1" x14ac:dyDescent="0.3">
      <c r="B104" s="27" t="s">
        <v>292</v>
      </c>
      <c r="C104" s="44" t="s">
        <v>389</v>
      </c>
      <c r="D104" s="30"/>
      <c r="E104" s="30"/>
      <c r="F104" s="30"/>
      <c r="G104" s="30"/>
      <c r="H104" s="30"/>
    </row>
    <row r="105" spans="2:8" ht="30.9" customHeight="1" x14ac:dyDescent="0.3">
      <c r="B105" s="27" t="s">
        <v>293</v>
      </c>
      <c r="C105" s="44" t="s">
        <v>844</v>
      </c>
      <c r="D105" s="30"/>
      <c r="E105" s="30"/>
      <c r="F105" s="30"/>
      <c r="G105" s="30"/>
      <c r="H105" s="30"/>
    </row>
    <row r="106" spans="2:8" ht="15.9" customHeight="1" x14ac:dyDescent="0.3">
      <c r="B106" s="43" t="s">
        <v>283</v>
      </c>
      <c r="C106" s="30"/>
      <c r="D106" s="30"/>
      <c r="E106" s="30"/>
      <c r="F106" s="30"/>
      <c r="G106" s="30"/>
      <c r="H106" s="30"/>
    </row>
    <row r="107" spans="2:8" ht="18" customHeight="1" x14ac:dyDescent="0.3">
      <c r="B107" s="27" t="s">
        <v>802</v>
      </c>
      <c r="C107" s="44" t="s">
        <v>1150</v>
      </c>
      <c r="D107" s="30"/>
      <c r="E107" s="30"/>
      <c r="F107" s="30"/>
      <c r="G107" s="30"/>
      <c r="H107" s="30"/>
    </row>
    <row r="108" spans="2:8" ht="18" customHeight="1" x14ac:dyDescent="0.3">
      <c r="B108" s="27" t="s">
        <v>803</v>
      </c>
      <c r="C108" s="44" t="s">
        <v>814</v>
      </c>
      <c r="D108" s="30"/>
      <c r="E108" s="30"/>
      <c r="F108" s="30"/>
      <c r="G108" s="30"/>
      <c r="H108" s="30"/>
    </row>
    <row r="109" spans="2:8" ht="18" customHeight="1" x14ac:dyDescent="0.3">
      <c r="B109" s="27" t="s">
        <v>294</v>
      </c>
      <c r="C109" s="44" t="s">
        <v>308</v>
      </c>
      <c r="D109" s="30"/>
      <c r="E109" s="30"/>
      <c r="F109" s="30"/>
      <c r="G109" s="30"/>
      <c r="H109" s="30"/>
    </row>
    <row r="110" spans="2:8" ht="18" customHeight="1" x14ac:dyDescent="0.3">
      <c r="B110" s="27" t="s">
        <v>295</v>
      </c>
      <c r="C110" s="44" t="s">
        <v>309</v>
      </c>
      <c r="D110" s="30"/>
      <c r="E110" s="30"/>
      <c r="F110" s="30"/>
      <c r="G110" s="30"/>
      <c r="H110" s="30"/>
    </row>
    <row r="111" spans="2:8" ht="18" customHeight="1" x14ac:dyDescent="0.3">
      <c r="B111" s="27" t="s">
        <v>296</v>
      </c>
      <c r="C111" s="44" t="s">
        <v>310</v>
      </c>
      <c r="D111" s="30"/>
      <c r="E111" s="30"/>
      <c r="F111" s="30"/>
      <c r="G111" s="30"/>
      <c r="H111" s="30"/>
    </row>
    <row r="112" spans="2:8" ht="15.9" customHeight="1" x14ac:dyDescent="0.3">
      <c r="B112" s="43" t="s">
        <v>801</v>
      </c>
      <c r="C112" s="30"/>
      <c r="D112" s="30"/>
      <c r="E112" s="30"/>
      <c r="F112" s="30"/>
      <c r="G112" s="30"/>
      <c r="H112" s="30"/>
    </row>
    <row r="113" spans="1:8" ht="30.9" customHeight="1" x14ac:dyDescent="0.3">
      <c r="B113" s="27" t="s">
        <v>804</v>
      </c>
      <c r="C113" s="44" t="s">
        <v>845</v>
      </c>
      <c r="D113" s="30"/>
      <c r="E113" s="30"/>
      <c r="F113" s="30"/>
      <c r="G113" s="30"/>
      <c r="H113" s="30"/>
    </row>
    <row r="114" spans="1:8" ht="18" customHeight="1" x14ac:dyDescent="0.3">
      <c r="B114" s="27" t="s">
        <v>805</v>
      </c>
      <c r="C114" s="44" t="s">
        <v>816</v>
      </c>
      <c r="D114" s="30"/>
      <c r="E114" s="30"/>
      <c r="F114" s="30"/>
      <c r="G114" s="30"/>
      <c r="H114" s="30"/>
    </row>
    <row r="115" spans="1:8" ht="18" customHeight="1" x14ac:dyDescent="0.3">
      <c r="B115" s="27" t="s">
        <v>806</v>
      </c>
      <c r="C115" s="44" t="s">
        <v>846</v>
      </c>
      <c r="D115" s="30"/>
      <c r="E115" s="30"/>
      <c r="F115" s="30"/>
      <c r="G115" s="30"/>
      <c r="H115" s="30"/>
    </row>
    <row r="116" spans="1:8" ht="30.9" customHeight="1" x14ac:dyDescent="0.3">
      <c r="B116" s="27" t="s">
        <v>807</v>
      </c>
      <c r="C116" s="44" t="s">
        <v>847</v>
      </c>
      <c r="D116" s="30"/>
      <c r="E116" s="30"/>
      <c r="F116" s="30"/>
      <c r="G116" s="30"/>
      <c r="H116" s="30"/>
    </row>
    <row r="117" spans="1:8" ht="18" customHeight="1" x14ac:dyDescent="0.3">
      <c r="B117" s="27" t="s">
        <v>808</v>
      </c>
      <c r="C117" s="44" t="s">
        <v>819</v>
      </c>
      <c r="D117" s="30"/>
      <c r="E117" s="30"/>
      <c r="F117" s="30"/>
      <c r="G117" s="30"/>
      <c r="H117" s="30"/>
    </row>
    <row r="118" spans="1:8" ht="15.9" customHeight="1" x14ac:dyDescent="0.3">
      <c r="B118" s="43" t="s">
        <v>285</v>
      </c>
      <c r="C118" s="30"/>
      <c r="D118" s="30"/>
      <c r="E118" s="30"/>
      <c r="F118" s="30"/>
      <c r="G118" s="30"/>
      <c r="H118" s="30"/>
    </row>
    <row r="119" spans="1:8" ht="18" customHeight="1" x14ac:dyDescent="0.3">
      <c r="B119" s="27" t="s">
        <v>809</v>
      </c>
      <c r="C119" s="44" t="s">
        <v>848</v>
      </c>
      <c r="D119" s="30"/>
      <c r="E119" s="30"/>
      <c r="F119" s="30"/>
      <c r="G119" s="30"/>
      <c r="H119" s="30"/>
    </row>
    <row r="120" spans="1:8" ht="18" customHeight="1" x14ac:dyDescent="0.3">
      <c r="B120" s="27" t="s">
        <v>302</v>
      </c>
      <c r="C120" s="44" t="s">
        <v>313</v>
      </c>
      <c r="D120" s="30"/>
      <c r="E120" s="30"/>
      <c r="F120" s="30"/>
      <c r="G120" s="30"/>
      <c r="H120" s="30"/>
    </row>
    <row r="121" spans="1:8" ht="18" customHeight="1" x14ac:dyDescent="0.3">
      <c r="B121" s="27" t="s">
        <v>304</v>
      </c>
      <c r="C121" s="44" t="s">
        <v>1095</v>
      </c>
      <c r="D121" s="30"/>
      <c r="E121" s="30"/>
      <c r="F121" s="30"/>
      <c r="G121" s="30"/>
      <c r="H121" s="30"/>
    </row>
    <row r="124" spans="1:8" ht="21.9" customHeight="1" x14ac:dyDescent="0.3">
      <c r="A124" s="45" t="s">
        <v>1154</v>
      </c>
      <c r="B124" s="30"/>
      <c r="C124" s="30"/>
      <c r="D124" s="30"/>
      <c r="E124" s="30"/>
      <c r="F124" s="30"/>
      <c r="G124" s="30"/>
      <c r="H124" s="30"/>
    </row>
    <row r="126" spans="1:8" ht="15.9" customHeight="1" x14ac:dyDescent="0.3">
      <c r="B126" s="43" t="s">
        <v>3</v>
      </c>
      <c r="C126" s="30"/>
      <c r="D126" s="30"/>
      <c r="E126" s="30"/>
      <c r="F126" s="30"/>
      <c r="G126" s="30"/>
      <c r="H126" s="30"/>
    </row>
    <row r="127" spans="1:8" ht="18" customHeight="1" x14ac:dyDescent="0.3">
      <c r="B127" s="27" t="s">
        <v>286</v>
      </c>
      <c r="C127" s="44" t="s">
        <v>849</v>
      </c>
      <c r="D127" s="30"/>
      <c r="E127" s="30"/>
      <c r="F127" s="30"/>
      <c r="G127" s="30"/>
      <c r="H127" s="30"/>
    </row>
    <row r="128" spans="1:8" ht="18" customHeight="1" x14ac:dyDescent="0.3">
      <c r="B128" s="27" t="s">
        <v>287</v>
      </c>
      <c r="C128" s="44" t="s">
        <v>850</v>
      </c>
      <c r="D128" s="30"/>
      <c r="E128" s="30"/>
      <c r="F128" s="30"/>
      <c r="G128" s="30"/>
      <c r="H128" s="30"/>
    </row>
    <row r="129" spans="2:8" ht="18" customHeight="1" x14ac:dyDescent="0.3">
      <c r="B129" s="27" t="s">
        <v>288</v>
      </c>
      <c r="C129" s="44" t="s">
        <v>169</v>
      </c>
      <c r="D129" s="30"/>
      <c r="E129" s="30"/>
      <c r="F129" s="30"/>
      <c r="G129" s="30"/>
      <c r="H129" s="30"/>
    </row>
    <row r="130" spans="2:8" ht="18" customHeight="1" x14ac:dyDescent="0.3">
      <c r="B130" s="27" t="s">
        <v>289</v>
      </c>
      <c r="C130" s="44" t="s">
        <v>1093</v>
      </c>
      <c r="D130" s="30"/>
      <c r="E130" s="30"/>
      <c r="F130" s="30"/>
      <c r="G130" s="30"/>
      <c r="H130" s="30"/>
    </row>
    <row r="131" spans="2:8" ht="18" customHeight="1" x14ac:dyDescent="0.3">
      <c r="B131" s="27" t="s">
        <v>290</v>
      </c>
      <c r="C131" s="44" t="s">
        <v>166</v>
      </c>
      <c r="D131" s="30"/>
      <c r="E131" s="30"/>
      <c r="F131" s="30"/>
      <c r="G131" s="30"/>
      <c r="H131" s="30"/>
    </row>
    <row r="132" spans="2:8" ht="15.9" customHeight="1" x14ac:dyDescent="0.3">
      <c r="B132" s="43" t="s">
        <v>282</v>
      </c>
      <c r="C132" s="30"/>
      <c r="D132" s="30"/>
      <c r="E132" s="30"/>
      <c r="F132" s="30"/>
      <c r="G132" s="30"/>
      <c r="H132" s="30"/>
    </row>
    <row r="133" spans="2:8" ht="30.9" customHeight="1" x14ac:dyDescent="0.3">
      <c r="B133" s="27" t="s">
        <v>291</v>
      </c>
      <c r="C133" s="44" t="s">
        <v>851</v>
      </c>
      <c r="D133" s="30"/>
      <c r="E133" s="30"/>
      <c r="F133" s="30"/>
      <c r="G133" s="30"/>
      <c r="H133" s="30"/>
    </row>
    <row r="134" spans="2:8" ht="18" customHeight="1" x14ac:dyDescent="0.3">
      <c r="B134" s="27" t="s">
        <v>292</v>
      </c>
      <c r="C134" s="44" t="s">
        <v>389</v>
      </c>
      <c r="D134" s="30"/>
      <c r="E134" s="30"/>
      <c r="F134" s="30"/>
      <c r="G134" s="30"/>
      <c r="H134" s="30"/>
    </row>
    <row r="135" spans="2:8" ht="57" customHeight="1" x14ac:dyDescent="0.3">
      <c r="B135" s="27" t="s">
        <v>293</v>
      </c>
      <c r="C135" s="44" t="s">
        <v>852</v>
      </c>
      <c r="D135" s="30"/>
      <c r="E135" s="30"/>
      <c r="F135" s="30"/>
      <c r="G135" s="30"/>
      <c r="H135" s="30"/>
    </row>
    <row r="136" spans="2:8" ht="15.9" customHeight="1" x14ac:dyDescent="0.3">
      <c r="B136" s="43" t="s">
        <v>283</v>
      </c>
      <c r="C136" s="30"/>
      <c r="D136" s="30"/>
      <c r="E136" s="30"/>
      <c r="F136" s="30"/>
      <c r="G136" s="30"/>
      <c r="H136" s="30"/>
    </row>
    <row r="137" spans="2:8" ht="18" customHeight="1" x14ac:dyDescent="0.3">
      <c r="B137" s="27" t="s">
        <v>802</v>
      </c>
      <c r="C137" s="44" t="s">
        <v>1150</v>
      </c>
      <c r="D137" s="30"/>
      <c r="E137" s="30"/>
      <c r="F137" s="30"/>
      <c r="G137" s="30"/>
      <c r="H137" s="30"/>
    </row>
    <row r="138" spans="2:8" ht="18" customHeight="1" x14ac:dyDescent="0.3">
      <c r="B138" s="27" t="s">
        <v>803</v>
      </c>
      <c r="C138" s="44" t="s">
        <v>853</v>
      </c>
      <c r="D138" s="30"/>
      <c r="E138" s="30"/>
      <c r="F138" s="30"/>
      <c r="G138" s="30"/>
      <c r="H138" s="30"/>
    </row>
    <row r="139" spans="2:8" ht="18" customHeight="1" x14ac:dyDescent="0.3">
      <c r="B139" s="27" t="s">
        <v>294</v>
      </c>
      <c r="C139" s="44" t="s">
        <v>308</v>
      </c>
      <c r="D139" s="30"/>
      <c r="E139" s="30"/>
      <c r="F139" s="30"/>
      <c r="G139" s="30"/>
      <c r="H139" s="30"/>
    </row>
    <row r="140" spans="2:8" ht="18" customHeight="1" x14ac:dyDescent="0.3">
      <c r="B140" s="27" t="s">
        <v>295</v>
      </c>
      <c r="C140" s="44" t="s">
        <v>309</v>
      </c>
      <c r="D140" s="30"/>
      <c r="E140" s="30"/>
      <c r="F140" s="30"/>
      <c r="G140" s="30"/>
      <c r="H140" s="30"/>
    </row>
    <row r="141" spans="2:8" ht="18" customHeight="1" x14ac:dyDescent="0.3">
      <c r="B141" s="27" t="s">
        <v>296</v>
      </c>
      <c r="C141" s="44" t="s">
        <v>310</v>
      </c>
      <c r="D141" s="30"/>
      <c r="E141" s="30"/>
      <c r="F141" s="30"/>
      <c r="G141" s="30"/>
      <c r="H141" s="30"/>
    </row>
    <row r="142" spans="2:8" ht="15.9" customHeight="1" x14ac:dyDescent="0.3">
      <c r="B142" s="43" t="s">
        <v>801</v>
      </c>
      <c r="C142" s="30"/>
      <c r="D142" s="30"/>
      <c r="E142" s="30"/>
      <c r="F142" s="30"/>
      <c r="G142" s="30"/>
      <c r="H142" s="30"/>
    </row>
    <row r="143" spans="2:8" ht="30.9" customHeight="1" x14ac:dyDescent="0.3">
      <c r="B143" s="27" t="s">
        <v>804</v>
      </c>
      <c r="C143" s="44" t="s">
        <v>854</v>
      </c>
      <c r="D143" s="30"/>
      <c r="E143" s="30"/>
      <c r="F143" s="30"/>
      <c r="G143" s="30"/>
      <c r="H143" s="30"/>
    </row>
    <row r="144" spans="2:8" ht="18" customHeight="1" x14ac:dyDescent="0.3">
      <c r="B144" s="27" t="s">
        <v>805</v>
      </c>
      <c r="C144" s="44" t="s">
        <v>838</v>
      </c>
      <c r="D144" s="30"/>
      <c r="E144" s="30"/>
      <c r="F144" s="30"/>
      <c r="G144" s="30"/>
      <c r="H144" s="30"/>
    </row>
    <row r="145" spans="1:8" ht="18" customHeight="1" x14ac:dyDescent="0.3">
      <c r="B145" s="27" t="s">
        <v>806</v>
      </c>
      <c r="C145" s="44" t="s">
        <v>855</v>
      </c>
      <c r="D145" s="30"/>
      <c r="E145" s="30"/>
      <c r="F145" s="30"/>
      <c r="G145" s="30"/>
      <c r="H145" s="30"/>
    </row>
    <row r="146" spans="1:8" ht="30.9" customHeight="1" x14ac:dyDescent="0.3">
      <c r="B146" s="27" t="s">
        <v>807</v>
      </c>
      <c r="C146" s="44" t="s">
        <v>856</v>
      </c>
      <c r="D146" s="30"/>
      <c r="E146" s="30"/>
      <c r="F146" s="30"/>
      <c r="G146" s="30"/>
      <c r="H146" s="30"/>
    </row>
    <row r="147" spans="1:8" ht="18" customHeight="1" x14ac:dyDescent="0.3">
      <c r="B147" s="27" t="s">
        <v>808</v>
      </c>
      <c r="C147" s="44" t="s">
        <v>830</v>
      </c>
      <c r="D147" s="30"/>
      <c r="E147" s="30"/>
      <c r="F147" s="30"/>
      <c r="G147" s="30"/>
      <c r="H147" s="30"/>
    </row>
    <row r="148" spans="1:8" ht="15.9" customHeight="1" x14ac:dyDescent="0.3">
      <c r="B148" s="43" t="s">
        <v>285</v>
      </c>
      <c r="C148" s="30"/>
      <c r="D148" s="30"/>
      <c r="E148" s="30"/>
      <c r="F148" s="30"/>
      <c r="G148" s="30"/>
      <c r="H148" s="30"/>
    </row>
    <row r="149" spans="1:8" ht="18" customHeight="1" x14ac:dyDescent="0.3">
      <c r="B149" s="27" t="s">
        <v>809</v>
      </c>
      <c r="C149" s="44" t="s">
        <v>857</v>
      </c>
      <c r="D149" s="30"/>
      <c r="E149" s="30"/>
      <c r="F149" s="30"/>
      <c r="G149" s="30"/>
      <c r="H149" s="30"/>
    </row>
    <row r="150" spans="1:8" ht="18" customHeight="1" x14ac:dyDescent="0.3">
      <c r="B150" s="27" t="s">
        <v>302</v>
      </c>
      <c r="C150" s="44" t="s">
        <v>313</v>
      </c>
      <c r="D150" s="30"/>
      <c r="E150" s="30"/>
      <c r="F150" s="30"/>
      <c r="G150" s="30"/>
      <c r="H150" s="30"/>
    </row>
    <row r="151" spans="1:8" ht="18" customHeight="1" x14ac:dyDescent="0.3">
      <c r="B151" s="27" t="s">
        <v>304</v>
      </c>
      <c r="C151" s="44" t="s">
        <v>1095</v>
      </c>
      <c r="D151" s="30"/>
      <c r="E151" s="30"/>
      <c r="F151" s="30"/>
      <c r="G151" s="30"/>
      <c r="H151" s="30"/>
    </row>
    <row r="154" spans="1:8" ht="21.9" customHeight="1" x14ac:dyDescent="0.3">
      <c r="A154" s="45" t="s">
        <v>1155</v>
      </c>
      <c r="B154" s="30"/>
      <c r="C154" s="30"/>
      <c r="D154" s="30"/>
      <c r="E154" s="30"/>
      <c r="F154" s="30"/>
      <c r="G154" s="30"/>
      <c r="H154" s="30"/>
    </row>
    <row r="156" spans="1:8" ht="15.9" customHeight="1" x14ac:dyDescent="0.3">
      <c r="B156" s="43" t="s">
        <v>3</v>
      </c>
      <c r="C156" s="30"/>
      <c r="D156" s="30"/>
      <c r="E156" s="30"/>
      <c r="F156" s="30"/>
      <c r="G156" s="30"/>
      <c r="H156" s="30"/>
    </row>
    <row r="157" spans="1:8" ht="18" customHeight="1" x14ac:dyDescent="0.3">
      <c r="B157" s="27" t="s">
        <v>286</v>
      </c>
      <c r="C157" s="44" t="s">
        <v>858</v>
      </c>
      <c r="D157" s="30"/>
      <c r="E157" s="30"/>
      <c r="F157" s="30"/>
      <c r="G157" s="30"/>
      <c r="H157" s="30"/>
    </row>
    <row r="158" spans="1:8" ht="18" customHeight="1" x14ac:dyDescent="0.3">
      <c r="B158" s="27" t="s">
        <v>287</v>
      </c>
      <c r="C158" s="44" t="s">
        <v>859</v>
      </c>
      <c r="D158" s="30"/>
      <c r="E158" s="30"/>
      <c r="F158" s="30"/>
      <c r="G158" s="30"/>
      <c r="H158" s="30"/>
    </row>
    <row r="159" spans="1:8" ht="18" customHeight="1" x14ac:dyDescent="0.3">
      <c r="B159" s="27" t="s">
        <v>288</v>
      </c>
      <c r="C159" s="44" t="s">
        <v>169</v>
      </c>
      <c r="D159" s="30"/>
      <c r="E159" s="30"/>
      <c r="F159" s="30"/>
      <c r="G159" s="30"/>
      <c r="H159" s="30"/>
    </row>
    <row r="160" spans="1:8" ht="18" customHeight="1" x14ac:dyDescent="0.3">
      <c r="B160" s="27" t="s">
        <v>289</v>
      </c>
      <c r="C160" s="44" t="s">
        <v>1093</v>
      </c>
      <c r="D160" s="30"/>
      <c r="E160" s="30"/>
      <c r="F160" s="30"/>
      <c r="G160" s="30"/>
      <c r="H160" s="30"/>
    </row>
    <row r="161" spans="2:8" ht="18" customHeight="1" x14ac:dyDescent="0.3">
      <c r="B161" s="27" t="s">
        <v>290</v>
      </c>
      <c r="C161" s="44" t="s">
        <v>166</v>
      </c>
      <c r="D161" s="30"/>
      <c r="E161" s="30"/>
      <c r="F161" s="30"/>
      <c r="G161" s="30"/>
      <c r="H161" s="30"/>
    </row>
    <row r="162" spans="2:8" ht="15.9" customHeight="1" x14ac:dyDescent="0.3">
      <c r="B162" s="43" t="s">
        <v>282</v>
      </c>
      <c r="C162" s="30"/>
      <c r="D162" s="30"/>
      <c r="E162" s="30"/>
      <c r="F162" s="30"/>
      <c r="G162" s="30"/>
      <c r="H162" s="30"/>
    </row>
    <row r="163" spans="2:8" ht="30.9" customHeight="1" x14ac:dyDescent="0.3">
      <c r="B163" s="27" t="s">
        <v>291</v>
      </c>
      <c r="C163" s="44" t="s">
        <v>860</v>
      </c>
      <c r="D163" s="30"/>
      <c r="E163" s="30"/>
      <c r="F163" s="30"/>
      <c r="G163" s="30"/>
      <c r="H163" s="30"/>
    </row>
    <row r="164" spans="2:8" ht="18" customHeight="1" x14ac:dyDescent="0.3">
      <c r="B164" s="27" t="s">
        <v>292</v>
      </c>
      <c r="C164" s="44" t="s">
        <v>389</v>
      </c>
      <c r="D164" s="30"/>
      <c r="E164" s="30"/>
      <c r="F164" s="30"/>
      <c r="G164" s="30"/>
      <c r="H164" s="30"/>
    </row>
    <row r="165" spans="2:8" ht="18" customHeight="1" x14ac:dyDescent="0.3">
      <c r="B165" s="27" t="s">
        <v>293</v>
      </c>
      <c r="C165" s="44" t="s">
        <v>861</v>
      </c>
      <c r="D165" s="30"/>
      <c r="E165" s="30"/>
      <c r="F165" s="30"/>
      <c r="G165" s="30"/>
      <c r="H165" s="30"/>
    </row>
    <row r="166" spans="2:8" ht="15.9" customHeight="1" x14ac:dyDescent="0.3">
      <c r="B166" s="43" t="s">
        <v>283</v>
      </c>
      <c r="C166" s="30"/>
      <c r="D166" s="30"/>
      <c r="E166" s="30"/>
      <c r="F166" s="30"/>
      <c r="G166" s="30"/>
      <c r="H166" s="30"/>
    </row>
    <row r="167" spans="2:8" ht="18" customHeight="1" x14ac:dyDescent="0.3">
      <c r="B167" s="27" t="s">
        <v>802</v>
      </c>
      <c r="C167" s="44" t="s">
        <v>1150</v>
      </c>
      <c r="D167" s="30"/>
      <c r="E167" s="30"/>
      <c r="F167" s="30"/>
      <c r="G167" s="30"/>
      <c r="H167" s="30"/>
    </row>
    <row r="168" spans="2:8" ht="18" customHeight="1" x14ac:dyDescent="0.3">
      <c r="B168" s="27" t="s">
        <v>803</v>
      </c>
      <c r="C168" s="44" t="s">
        <v>862</v>
      </c>
      <c r="D168" s="30"/>
      <c r="E168" s="30"/>
      <c r="F168" s="30"/>
      <c r="G168" s="30"/>
      <c r="H168" s="30"/>
    </row>
    <row r="169" spans="2:8" ht="18" customHeight="1" x14ac:dyDescent="0.3">
      <c r="B169" s="27" t="s">
        <v>294</v>
      </c>
      <c r="C169" s="44" t="s">
        <v>308</v>
      </c>
      <c r="D169" s="30"/>
      <c r="E169" s="30"/>
      <c r="F169" s="30"/>
      <c r="G169" s="30"/>
      <c r="H169" s="30"/>
    </row>
    <row r="170" spans="2:8" ht="18" customHeight="1" x14ac:dyDescent="0.3">
      <c r="B170" s="27" t="s">
        <v>295</v>
      </c>
      <c r="C170" s="44" t="s">
        <v>309</v>
      </c>
      <c r="D170" s="30"/>
      <c r="E170" s="30"/>
      <c r="F170" s="30"/>
      <c r="G170" s="30"/>
      <c r="H170" s="30"/>
    </row>
    <row r="171" spans="2:8" ht="18" customHeight="1" x14ac:dyDescent="0.3">
      <c r="B171" s="27" t="s">
        <v>296</v>
      </c>
      <c r="C171" s="44" t="s">
        <v>310</v>
      </c>
      <c r="D171" s="30"/>
      <c r="E171" s="30"/>
      <c r="F171" s="30"/>
      <c r="G171" s="30"/>
      <c r="H171" s="30"/>
    </row>
    <row r="172" spans="2:8" ht="15.9" customHeight="1" x14ac:dyDescent="0.3">
      <c r="B172" s="43" t="s">
        <v>801</v>
      </c>
      <c r="C172" s="30"/>
      <c r="D172" s="30"/>
      <c r="E172" s="30"/>
      <c r="F172" s="30"/>
      <c r="G172" s="30"/>
      <c r="H172" s="30"/>
    </row>
    <row r="173" spans="2:8" ht="30.9" customHeight="1" x14ac:dyDescent="0.3">
      <c r="B173" s="27" t="s">
        <v>804</v>
      </c>
      <c r="C173" s="44" t="s">
        <v>863</v>
      </c>
      <c r="D173" s="30"/>
      <c r="E173" s="30"/>
      <c r="F173" s="30"/>
      <c r="G173" s="30"/>
      <c r="H173" s="30"/>
    </row>
    <row r="174" spans="2:8" ht="18" customHeight="1" x14ac:dyDescent="0.3">
      <c r="B174" s="27" t="s">
        <v>805</v>
      </c>
      <c r="C174" s="44" t="s">
        <v>838</v>
      </c>
      <c r="D174" s="30"/>
      <c r="E174" s="30"/>
      <c r="F174" s="30"/>
      <c r="G174" s="30"/>
      <c r="H174" s="30"/>
    </row>
    <row r="175" spans="2:8" ht="18" customHeight="1" x14ac:dyDescent="0.3">
      <c r="B175" s="27" t="s">
        <v>806</v>
      </c>
      <c r="C175" s="44" t="s">
        <v>864</v>
      </c>
      <c r="D175" s="30"/>
      <c r="E175" s="30"/>
      <c r="F175" s="30"/>
      <c r="G175" s="30"/>
      <c r="H175" s="30"/>
    </row>
    <row r="176" spans="2:8" ht="30.9" customHeight="1" x14ac:dyDescent="0.3">
      <c r="B176" s="27" t="s">
        <v>807</v>
      </c>
      <c r="C176" s="44" t="s">
        <v>865</v>
      </c>
      <c r="D176" s="30"/>
      <c r="E176" s="30"/>
      <c r="F176" s="30"/>
      <c r="G176" s="30"/>
      <c r="H176" s="30"/>
    </row>
    <row r="177" spans="1:8" ht="18" customHeight="1" x14ac:dyDescent="0.3">
      <c r="B177" s="27" t="s">
        <v>808</v>
      </c>
      <c r="C177" s="44" t="s">
        <v>830</v>
      </c>
      <c r="D177" s="30"/>
      <c r="E177" s="30"/>
      <c r="F177" s="30"/>
      <c r="G177" s="30"/>
      <c r="H177" s="30"/>
    </row>
    <row r="178" spans="1:8" ht="15.9" customHeight="1" x14ac:dyDescent="0.3">
      <c r="B178" s="43" t="s">
        <v>285</v>
      </c>
      <c r="C178" s="30"/>
      <c r="D178" s="30"/>
      <c r="E178" s="30"/>
      <c r="F178" s="30"/>
      <c r="G178" s="30"/>
      <c r="H178" s="30"/>
    </row>
    <row r="179" spans="1:8" ht="18" customHeight="1" x14ac:dyDescent="0.3">
      <c r="B179" s="27" t="s">
        <v>809</v>
      </c>
      <c r="C179" s="44" t="s">
        <v>866</v>
      </c>
      <c r="D179" s="30"/>
      <c r="E179" s="30"/>
      <c r="F179" s="30"/>
      <c r="G179" s="30"/>
      <c r="H179" s="30"/>
    </row>
    <row r="180" spans="1:8" ht="18" customHeight="1" x14ac:dyDescent="0.3">
      <c r="B180" s="27" t="s">
        <v>302</v>
      </c>
      <c r="C180" s="44" t="s">
        <v>849</v>
      </c>
      <c r="D180" s="30"/>
      <c r="E180" s="30"/>
      <c r="F180" s="30"/>
      <c r="G180" s="30"/>
      <c r="H180" s="30"/>
    </row>
    <row r="181" spans="1:8" ht="18" customHeight="1" x14ac:dyDescent="0.3">
      <c r="B181" s="27" t="s">
        <v>304</v>
      </c>
      <c r="C181" s="44" t="s">
        <v>1095</v>
      </c>
      <c r="D181" s="30"/>
      <c r="E181" s="30"/>
      <c r="F181" s="30"/>
      <c r="G181" s="30"/>
      <c r="H181" s="30"/>
    </row>
    <row r="184" spans="1:8" ht="21.9" customHeight="1" x14ac:dyDescent="0.3">
      <c r="A184" s="45" t="s">
        <v>1156</v>
      </c>
      <c r="B184" s="30"/>
      <c r="C184" s="30"/>
      <c r="D184" s="30"/>
      <c r="E184" s="30"/>
      <c r="F184" s="30"/>
      <c r="G184" s="30"/>
      <c r="H184" s="30"/>
    </row>
    <row r="186" spans="1:8" ht="15.9" customHeight="1" x14ac:dyDescent="0.3">
      <c r="B186" s="43" t="s">
        <v>3</v>
      </c>
      <c r="C186" s="30"/>
      <c r="D186" s="30"/>
      <c r="E186" s="30"/>
      <c r="F186" s="30"/>
      <c r="G186" s="30"/>
      <c r="H186" s="30"/>
    </row>
    <row r="187" spans="1:8" ht="18" customHeight="1" x14ac:dyDescent="0.3">
      <c r="B187" s="27" t="s">
        <v>286</v>
      </c>
      <c r="C187" s="44" t="s">
        <v>867</v>
      </c>
      <c r="D187" s="30"/>
      <c r="E187" s="30"/>
      <c r="F187" s="30"/>
      <c r="G187" s="30"/>
      <c r="H187" s="30"/>
    </row>
    <row r="188" spans="1:8" ht="18" customHeight="1" x14ac:dyDescent="0.3">
      <c r="B188" s="27" t="s">
        <v>287</v>
      </c>
      <c r="C188" s="44" t="s">
        <v>868</v>
      </c>
      <c r="D188" s="30"/>
      <c r="E188" s="30"/>
      <c r="F188" s="30"/>
      <c r="G188" s="30"/>
      <c r="H188" s="30"/>
    </row>
    <row r="189" spans="1:8" ht="18" customHeight="1" x14ac:dyDescent="0.3">
      <c r="B189" s="27" t="s">
        <v>288</v>
      </c>
      <c r="C189" s="44" t="s">
        <v>169</v>
      </c>
      <c r="D189" s="30"/>
      <c r="E189" s="30"/>
      <c r="F189" s="30"/>
      <c r="G189" s="30"/>
      <c r="H189" s="30"/>
    </row>
    <row r="190" spans="1:8" ht="18" customHeight="1" x14ac:dyDescent="0.3">
      <c r="B190" s="27" t="s">
        <v>289</v>
      </c>
      <c r="C190" s="44" t="s">
        <v>1093</v>
      </c>
      <c r="D190" s="30"/>
      <c r="E190" s="30"/>
      <c r="F190" s="30"/>
      <c r="G190" s="30"/>
      <c r="H190" s="30"/>
    </row>
    <row r="191" spans="1:8" ht="18" customHeight="1" x14ac:dyDescent="0.3">
      <c r="B191" s="27" t="s">
        <v>290</v>
      </c>
      <c r="C191" s="44" t="s">
        <v>166</v>
      </c>
      <c r="D191" s="30"/>
      <c r="E191" s="30"/>
      <c r="F191" s="30"/>
      <c r="G191" s="30"/>
      <c r="H191" s="30"/>
    </row>
    <row r="192" spans="1:8" ht="15.9" customHeight="1" x14ac:dyDescent="0.3">
      <c r="B192" s="43" t="s">
        <v>282</v>
      </c>
      <c r="C192" s="30"/>
      <c r="D192" s="30"/>
      <c r="E192" s="30"/>
      <c r="F192" s="30"/>
      <c r="G192" s="30"/>
      <c r="H192" s="30"/>
    </row>
    <row r="193" spans="2:8" ht="30.9" customHeight="1" x14ac:dyDescent="0.3">
      <c r="B193" s="27" t="s">
        <v>291</v>
      </c>
      <c r="C193" s="44" t="s">
        <v>869</v>
      </c>
      <c r="D193" s="30"/>
      <c r="E193" s="30"/>
      <c r="F193" s="30"/>
      <c r="G193" s="30"/>
      <c r="H193" s="30"/>
    </row>
    <row r="194" spans="2:8" ht="18" customHeight="1" x14ac:dyDescent="0.3">
      <c r="B194" s="27" t="s">
        <v>292</v>
      </c>
      <c r="C194" s="44" t="s">
        <v>306</v>
      </c>
      <c r="D194" s="30"/>
      <c r="E194" s="30"/>
      <c r="F194" s="30"/>
      <c r="G194" s="30"/>
      <c r="H194" s="30"/>
    </row>
    <row r="195" spans="2:8" ht="30.9" customHeight="1" x14ac:dyDescent="0.3">
      <c r="B195" s="27" t="s">
        <v>293</v>
      </c>
      <c r="C195" s="44" t="s">
        <v>870</v>
      </c>
      <c r="D195" s="30"/>
      <c r="E195" s="30"/>
      <c r="F195" s="30"/>
      <c r="G195" s="30"/>
      <c r="H195" s="30"/>
    </row>
    <row r="196" spans="2:8" ht="15.9" customHeight="1" x14ac:dyDescent="0.3">
      <c r="B196" s="43" t="s">
        <v>283</v>
      </c>
      <c r="C196" s="30"/>
      <c r="D196" s="30"/>
      <c r="E196" s="30"/>
      <c r="F196" s="30"/>
      <c r="G196" s="30"/>
      <c r="H196" s="30"/>
    </row>
    <row r="197" spans="2:8" ht="18" customHeight="1" x14ac:dyDescent="0.3">
      <c r="B197" s="27" t="s">
        <v>802</v>
      </c>
      <c r="C197" s="44" t="s">
        <v>1150</v>
      </c>
      <c r="D197" s="30"/>
      <c r="E197" s="30"/>
      <c r="F197" s="30"/>
      <c r="G197" s="30"/>
      <c r="H197" s="30"/>
    </row>
    <row r="198" spans="2:8" ht="18" customHeight="1" x14ac:dyDescent="0.3">
      <c r="B198" s="27" t="s">
        <v>803</v>
      </c>
      <c r="C198" s="44" t="s">
        <v>814</v>
      </c>
      <c r="D198" s="30"/>
      <c r="E198" s="30"/>
      <c r="F198" s="30"/>
      <c r="G198" s="30"/>
      <c r="H198" s="30"/>
    </row>
    <row r="199" spans="2:8" ht="18" customHeight="1" x14ac:dyDescent="0.3">
      <c r="B199" s="27" t="s">
        <v>294</v>
      </c>
      <c r="C199" s="44" t="s">
        <v>308</v>
      </c>
      <c r="D199" s="30"/>
      <c r="E199" s="30"/>
      <c r="F199" s="30"/>
      <c r="G199" s="30"/>
      <c r="H199" s="30"/>
    </row>
    <row r="200" spans="2:8" ht="18" customHeight="1" x14ac:dyDescent="0.3">
      <c r="B200" s="27" t="s">
        <v>295</v>
      </c>
      <c r="C200" s="44" t="s">
        <v>309</v>
      </c>
      <c r="D200" s="30"/>
      <c r="E200" s="30"/>
      <c r="F200" s="30"/>
      <c r="G200" s="30"/>
      <c r="H200" s="30"/>
    </row>
    <row r="201" spans="2:8" ht="18" customHeight="1" x14ac:dyDescent="0.3">
      <c r="B201" s="27" t="s">
        <v>296</v>
      </c>
      <c r="C201" s="44" t="s">
        <v>310</v>
      </c>
      <c r="D201" s="30"/>
      <c r="E201" s="30"/>
      <c r="F201" s="30"/>
      <c r="G201" s="30"/>
      <c r="H201" s="30"/>
    </row>
    <row r="202" spans="2:8" ht="15.9" customHeight="1" x14ac:dyDescent="0.3">
      <c r="B202" s="43" t="s">
        <v>801</v>
      </c>
      <c r="C202" s="30"/>
      <c r="D202" s="30"/>
      <c r="E202" s="30"/>
      <c r="F202" s="30"/>
      <c r="G202" s="30"/>
      <c r="H202" s="30"/>
    </row>
    <row r="203" spans="2:8" ht="30.9" customHeight="1" x14ac:dyDescent="0.3">
      <c r="B203" s="27" t="s">
        <v>804</v>
      </c>
      <c r="C203" s="44" t="s">
        <v>871</v>
      </c>
      <c r="D203" s="30"/>
      <c r="E203" s="30"/>
      <c r="F203" s="30"/>
      <c r="G203" s="30"/>
      <c r="H203" s="30"/>
    </row>
    <row r="204" spans="2:8" ht="18" customHeight="1" x14ac:dyDescent="0.3">
      <c r="B204" s="27" t="s">
        <v>805</v>
      </c>
      <c r="C204" s="44" t="s">
        <v>816</v>
      </c>
      <c r="D204" s="30"/>
      <c r="E204" s="30"/>
      <c r="F204" s="30"/>
      <c r="G204" s="30"/>
      <c r="H204" s="30"/>
    </row>
    <row r="205" spans="2:8" ht="18" customHeight="1" x14ac:dyDescent="0.3">
      <c r="B205" s="27" t="s">
        <v>806</v>
      </c>
      <c r="C205" s="44" t="s">
        <v>872</v>
      </c>
      <c r="D205" s="30"/>
      <c r="E205" s="30"/>
      <c r="F205" s="30"/>
      <c r="G205" s="30"/>
      <c r="H205" s="30"/>
    </row>
    <row r="206" spans="2:8" ht="30.9" customHeight="1" x14ac:dyDescent="0.3">
      <c r="B206" s="27" t="s">
        <v>807</v>
      </c>
      <c r="C206" s="44" t="s">
        <v>873</v>
      </c>
      <c r="D206" s="30"/>
      <c r="E206" s="30"/>
      <c r="F206" s="30"/>
      <c r="G206" s="30"/>
      <c r="H206" s="30"/>
    </row>
    <row r="207" spans="2:8" ht="18" customHeight="1" x14ac:dyDescent="0.3">
      <c r="B207" s="27" t="s">
        <v>808</v>
      </c>
      <c r="C207" s="44" t="s">
        <v>830</v>
      </c>
      <c r="D207" s="30"/>
      <c r="E207" s="30"/>
      <c r="F207" s="30"/>
      <c r="G207" s="30"/>
      <c r="H207" s="30"/>
    </row>
    <row r="208" spans="2:8" ht="15.9" customHeight="1" x14ac:dyDescent="0.3">
      <c r="B208" s="43" t="s">
        <v>285</v>
      </c>
      <c r="C208" s="30"/>
      <c r="D208" s="30"/>
      <c r="E208" s="30"/>
      <c r="F208" s="30"/>
      <c r="G208" s="30"/>
      <c r="H208" s="30"/>
    </row>
    <row r="209" spans="1:8" ht="18" customHeight="1" x14ac:dyDescent="0.3">
      <c r="B209" s="27" t="s">
        <v>809</v>
      </c>
      <c r="C209" s="44" t="s">
        <v>355</v>
      </c>
      <c r="D209" s="30"/>
      <c r="E209" s="30"/>
      <c r="F209" s="30"/>
      <c r="G209" s="30"/>
      <c r="H209" s="30"/>
    </row>
    <row r="210" spans="1:8" ht="18" customHeight="1" x14ac:dyDescent="0.3">
      <c r="B210" s="27" t="s">
        <v>302</v>
      </c>
      <c r="C210" s="44" t="s">
        <v>822</v>
      </c>
      <c r="D210" s="30"/>
      <c r="E210" s="30"/>
      <c r="F210" s="30"/>
      <c r="G210" s="30"/>
      <c r="H210" s="30"/>
    </row>
    <row r="211" spans="1:8" ht="18" customHeight="1" x14ac:dyDescent="0.3">
      <c r="B211" s="27" t="s">
        <v>304</v>
      </c>
      <c r="C211" s="44" t="s">
        <v>1095</v>
      </c>
      <c r="D211" s="30"/>
      <c r="E211" s="30"/>
      <c r="F211" s="30"/>
      <c r="G211" s="30"/>
      <c r="H211" s="30"/>
    </row>
    <row r="214" spans="1:8" ht="21.9" customHeight="1" x14ac:dyDescent="0.3">
      <c r="A214" s="45" t="s">
        <v>1157</v>
      </c>
      <c r="B214" s="30"/>
      <c r="C214" s="30"/>
      <c r="D214" s="30"/>
      <c r="E214" s="30"/>
      <c r="F214" s="30"/>
      <c r="G214" s="30"/>
      <c r="H214" s="30"/>
    </row>
    <row r="216" spans="1:8" ht="15.9" customHeight="1" x14ac:dyDescent="0.3">
      <c r="B216" s="43" t="s">
        <v>3</v>
      </c>
      <c r="C216" s="30"/>
      <c r="D216" s="30"/>
      <c r="E216" s="30"/>
      <c r="F216" s="30"/>
      <c r="G216" s="30"/>
      <c r="H216" s="30"/>
    </row>
    <row r="217" spans="1:8" ht="18" customHeight="1" x14ac:dyDescent="0.3">
      <c r="B217" s="27" t="s">
        <v>286</v>
      </c>
      <c r="C217" s="44" t="s">
        <v>874</v>
      </c>
      <c r="D217" s="30"/>
      <c r="E217" s="30"/>
      <c r="F217" s="30"/>
      <c r="G217" s="30"/>
      <c r="H217" s="30"/>
    </row>
    <row r="218" spans="1:8" ht="18" customHeight="1" x14ac:dyDescent="0.3">
      <c r="B218" s="27" t="s">
        <v>287</v>
      </c>
      <c r="C218" s="44" t="s">
        <v>875</v>
      </c>
      <c r="D218" s="30"/>
      <c r="E218" s="30"/>
      <c r="F218" s="30"/>
      <c r="G218" s="30"/>
      <c r="H218" s="30"/>
    </row>
    <row r="219" spans="1:8" ht="18" customHeight="1" x14ac:dyDescent="0.3">
      <c r="B219" s="27" t="s">
        <v>288</v>
      </c>
      <c r="C219" s="44" t="s">
        <v>169</v>
      </c>
      <c r="D219" s="30"/>
      <c r="E219" s="30"/>
      <c r="F219" s="30"/>
      <c r="G219" s="30"/>
      <c r="H219" s="30"/>
    </row>
    <row r="220" spans="1:8" ht="18" customHeight="1" x14ac:dyDescent="0.3">
      <c r="B220" s="27" t="s">
        <v>289</v>
      </c>
      <c r="C220" s="44" t="s">
        <v>1093</v>
      </c>
      <c r="D220" s="30"/>
      <c r="E220" s="30"/>
      <c r="F220" s="30"/>
      <c r="G220" s="30"/>
      <c r="H220" s="30"/>
    </row>
    <row r="221" spans="1:8" ht="18" customHeight="1" x14ac:dyDescent="0.3">
      <c r="B221" s="27" t="s">
        <v>290</v>
      </c>
      <c r="C221" s="44" t="s">
        <v>166</v>
      </c>
      <c r="D221" s="30"/>
      <c r="E221" s="30"/>
      <c r="F221" s="30"/>
      <c r="G221" s="30"/>
      <c r="H221" s="30"/>
    </row>
    <row r="222" spans="1:8" ht="15.9" customHeight="1" x14ac:dyDescent="0.3">
      <c r="B222" s="43" t="s">
        <v>282</v>
      </c>
      <c r="C222" s="30"/>
      <c r="D222" s="30"/>
      <c r="E222" s="30"/>
      <c r="F222" s="30"/>
      <c r="G222" s="30"/>
      <c r="H222" s="30"/>
    </row>
    <row r="223" spans="1:8" ht="30.9" customHeight="1" x14ac:dyDescent="0.3">
      <c r="B223" s="27" t="s">
        <v>291</v>
      </c>
      <c r="C223" s="44" t="s">
        <v>876</v>
      </c>
      <c r="D223" s="30"/>
      <c r="E223" s="30"/>
      <c r="F223" s="30"/>
      <c r="G223" s="30"/>
      <c r="H223" s="30"/>
    </row>
    <row r="224" spans="1:8" ht="18" customHeight="1" x14ac:dyDescent="0.3">
      <c r="B224" s="27" t="s">
        <v>292</v>
      </c>
      <c r="C224" s="44" t="s">
        <v>306</v>
      </c>
      <c r="D224" s="30"/>
      <c r="E224" s="30"/>
      <c r="F224" s="30"/>
      <c r="G224" s="30"/>
      <c r="H224" s="30"/>
    </row>
    <row r="225" spans="2:8" ht="44.1" customHeight="1" x14ac:dyDescent="0.3">
      <c r="B225" s="27" t="s">
        <v>293</v>
      </c>
      <c r="C225" s="44" t="s">
        <v>877</v>
      </c>
      <c r="D225" s="30"/>
      <c r="E225" s="30"/>
      <c r="F225" s="30"/>
      <c r="G225" s="30"/>
      <c r="H225" s="30"/>
    </row>
    <row r="226" spans="2:8" ht="15.9" customHeight="1" x14ac:dyDescent="0.3">
      <c r="B226" s="43" t="s">
        <v>283</v>
      </c>
      <c r="C226" s="30"/>
      <c r="D226" s="30"/>
      <c r="E226" s="30"/>
      <c r="F226" s="30"/>
      <c r="G226" s="30"/>
      <c r="H226" s="30"/>
    </row>
    <row r="227" spans="2:8" ht="18" customHeight="1" x14ac:dyDescent="0.3">
      <c r="B227" s="27" t="s">
        <v>802</v>
      </c>
      <c r="C227" s="44" t="s">
        <v>1150</v>
      </c>
      <c r="D227" s="30"/>
      <c r="E227" s="30"/>
      <c r="F227" s="30"/>
      <c r="G227" s="30"/>
      <c r="H227" s="30"/>
    </row>
    <row r="228" spans="2:8" ht="18" customHeight="1" x14ac:dyDescent="0.3">
      <c r="B228" s="27" t="s">
        <v>803</v>
      </c>
      <c r="C228" s="44" t="s">
        <v>814</v>
      </c>
      <c r="D228" s="30"/>
      <c r="E228" s="30"/>
      <c r="F228" s="30"/>
      <c r="G228" s="30"/>
      <c r="H228" s="30"/>
    </row>
    <row r="229" spans="2:8" ht="18" customHeight="1" x14ac:dyDescent="0.3">
      <c r="B229" s="27" t="s">
        <v>294</v>
      </c>
      <c r="C229" s="44" t="s">
        <v>308</v>
      </c>
      <c r="D229" s="30"/>
      <c r="E229" s="30"/>
      <c r="F229" s="30"/>
      <c r="G229" s="30"/>
      <c r="H229" s="30"/>
    </row>
    <row r="230" spans="2:8" ht="18" customHeight="1" x14ac:dyDescent="0.3">
      <c r="B230" s="27" t="s">
        <v>295</v>
      </c>
      <c r="C230" s="44" t="s">
        <v>309</v>
      </c>
      <c r="D230" s="30"/>
      <c r="E230" s="30"/>
      <c r="F230" s="30"/>
      <c r="G230" s="30"/>
      <c r="H230" s="30"/>
    </row>
    <row r="231" spans="2:8" ht="18" customHeight="1" x14ac:dyDescent="0.3">
      <c r="B231" s="27" t="s">
        <v>296</v>
      </c>
      <c r="C231" s="44" t="s">
        <v>310</v>
      </c>
      <c r="D231" s="30"/>
      <c r="E231" s="30"/>
      <c r="F231" s="30"/>
      <c r="G231" s="30"/>
      <c r="H231" s="30"/>
    </row>
    <row r="232" spans="2:8" ht="15.9" customHeight="1" x14ac:dyDescent="0.3">
      <c r="B232" s="43" t="s">
        <v>801</v>
      </c>
      <c r="C232" s="30"/>
      <c r="D232" s="30"/>
      <c r="E232" s="30"/>
      <c r="F232" s="30"/>
      <c r="G232" s="30"/>
      <c r="H232" s="30"/>
    </row>
    <row r="233" spans="2:8" ht="30.9" customHeight="1" x14ac:dyDescent="0.3">
      <c r="B233" s="27" t="s">
        <v>804</v>
      </c>
      <c r="C233" s="44" t="s">
        <v>878</v>
      </c>
      <c r="D233" s="30"/>
      <c r="E233" s="30"/>
      <c r="F233" s="30"/>
      <c r="G233" s="30"/>
      <c r="H233" s="30"/>
    </row>
    <row r="234" spans="2:8" ht="18" customHeight="1" x14ac:dyDescent="0.3">
      <c r="B234" s="27" t="s">
        <v>805</v>
      </c>
      <c r="C234" s="44" t="s">
        <v>838</v>
      </c>
      <c r="D234" s="30"/>
      <c r="E234" s="30"/>
      <c r="F234" s="30"/>
      <c r="G234" s="30"/>
      <c r="H234" s="30"/>
    </row>
    <row r="235" spans="2:8" ht="18" customHeight="1" x14ac:dyDescent="0.3">
      <c r="B235" s="27" t="s">
        <v>806</v>
      </c>
      <c r="C235" s="44" t="s">
        <v>879</v>
      </c>
      <c r="D235" s="30"/>
      <c r="E235" s="30"/>
      <c r="F235" s="30"/>
      <c r="G235" s="30"/>
      <c r="H235" s="30"/>
    </row>
    <row r="236" spans="2:8" ht="18" customHeight="1" x14ac:dyDescent="0.3">
      <c r="B236" s="27" t="s">
        <v>807</v>
      </c>
      <c r="C236" s="44" t="s">
        <v>880</v>
      </c>
      <c r="D236" s="30"/>
      <c r="E236" s="30"/>
      <c r="F236" s="30"/>
      <c r="G236" s="30"/>
      <c r="H236" s="30"/>
    </row>
    <row r="237" spans="2:8" ht="18" customHeight="1" x14ac:dyDescent="0.3">
      <c r="B237" s="27" t="s">
        <v>808</v>
      </c>
      <c r="C237" s="44" t="s">
        <v>830</v>
      </c>
      <c r="D237" s="30"/>
      <c r="E237" s="30"/>
      <c r="F237" s="30"/>
      <c r="G237" s="30"/>
      <c r="H237" s="30"/>
    </row>
    <row r="238" spans="2:8" ht="15.9" customHeight="1" x14ac:dyDescent="0.3">
      <c r="B238" s="43" t="s">
        <v>285</v>
      </c>
      <c r="C238" s="30"/>
      <c r="D238" s="30"/>
      <c r="E238" s="30"/>
      <c r="F238" s="30"/>
      <c r="G238" s="30"/>
      <c r="H238" s="30"/>
    </row>
    <row r="239" spans="2:8" ht="18" customHeight="1" x14ac:dyDescent="0.3">
      <c r="B239" s="27" t="s">
        <v>809</v>
      </c>
      <c r="C239" s="44" t="s">
        <v>881</v>
      </c>
      <c r="D239" s="30"/>
      <c r="E239" s="30"/>
      <c r="F239" s="30"/>
      <c r="G239" s="30"/>
      <c r="H239" s="30"/>
    </row>
    <row r="240" spans="2:8" ht="18" customHeight="1" x14ac:dyDescent="0.3">
      <c r="B240" s="27" t="s">
        <v>302</v>
      </c>
      <c r="C240" s="44" t="s">
        <v>833</v>
      </c>
      <c r="D240" s="30"/>
      <c r="E240" s="30"/>
      <c r="F240" s="30"/>
      <c r="G240" s="30"/>
      <c r="H240" s="30"/>
    </row>
    <row r="241" spans="1:8" ht="18" customHeight="1" x14ac:dyDescent="0.3">
      <c r="B241" s="27" t="s">
        <v>304</v>
      </c>
      <c r="C241" s="44" t="s">
        <v>1095</v>
      </c>
      <c r="D241" s="30"/>
      <c r="E241" s="30"/>
      <c r="F241" s="30"/>
      <c r="G241" s="30"/>
      <c r="H241" s="30"/>
    </row>
    <row r="244" spans="1:8" ht="21.9" customHeight="1" x14ac:dyDescent="0.3">
      <c r="A244" s="45" t="s">
        <v>1158</v>
      </c>
      <c r="B244" s="30"/>
      <c r="C244" s="30"/>
      <c r="D244" s="30"/>
      <c r="E244" s="30"/>
      <c r="F244" s="30"/>
      <c r="G244" s="30"/>
      <c r="H244" s="30"/>
    </row>
    <row r="246" spans="1:8" ht="15.9" customHeight="1" x14ac:dyDescent="0.3">
      <c r="B246" s="43" t="s">
        <v>3</v>
      </c>
      <c r="C246" s="30"/>
      <c r="D246" s="30"/>
      <c r="E246" s="30"/>
      <c r="F246" s="30"/>
      <c r="G246" s="30"/>
      <c r="H246" s="30"/>
    </row>
    <row r="247" spans="1:8" ht="18" customHeight="1" x14ac:dyDescent="0.3">
      <c r="B247" s="27" t="s">
        <v>286</v>
      </c>
      <c r="C247" s="44" t="s">
        <v>882</v>
      </c>
      <c r="D247" s="30"/>
      <c r="E247" s="30"/>
      <c r="F247" s="30"/>
      <c r="G247" s="30"/>
      <c r="H247" s="30"/>
    </row>
    <row r="248" spans="1:8" ht="18" customHeight="1" x14ac:dyDescent="0.3">
      <c r="B248" s="27" t="s">
        <v>287</v>
      </c>
      <c r="C248" s="44" t="s">
        <v>883</v>
      </c>
      <c r="D248" s="30"/>
      <c r="E248" s="30"/>
      <c r="F248" s="30"/>
      <c r="G248" s="30"/>
      <c r="H248" s="30"/>
    </row>
    <row r="249" spans="1:8" ht="18" customHeight="1" x14ac:dyDescent="0.3">
      <c r="B249" s="27" t="s">
        <v>288</v>
      </c>
      <c r="C249" s="44" t="s">
        <v>169</v>
      </c>
      <c r="D249" s="30"/>
      <c r="E249" s="30"/>
      <c r="F249" s="30"/>
      <c r="G249" s="30"/>
      <c r="H249" s="30"/>
    </row>
    <row r="250" spans="1:8" ht="18" customHeight="1" x14ac:dyDescent="0.3">
      <c r="B250" s="27" t="s">
        <v>289</v>
      </c>
      <c r="C250" s="44" t="s">
        <v>1093</v>
      </c>
      <c r="D250" s="30"/>
      <c r="E250" s="30"/>
      <c r="F250" s="30"/>
      <c r="G250" s="30"/>
      <c r="H250" s="30"/>
    </row>
    <row r="251" spans="1:8" ht="18" customHeight="1" x14ac:dyDescent="0.3">
      <c r="B251" s="27" t="s">
        <v>290</v>
      </c>
      <c r="C251" s="44" t="s">
        <v>166</v>
      </c>
      <c r="D251" s="30"/>
      <c r="E251" s="30"/>
      <c r="F251" s="30"/>
      <c r="G251" s="30"/>
      <c r="H251" s="30"/>
    </row>
    <row r="252" spans="1:8" ht="15.9" customHeight="1" x14ac:dyDescent="0.3">
      <c r="B252" s="43" t="s">
        <v>282</v>
      </c>
      <c r="C252" s="30"/>
      <c r="D252" s="30"/>
      <c r="E252" s="30"/>
      <c r="F252" s="30"/>
      <c r="G252" s="30"/>
      <c r="H252" s="30"/>
    </row>
    <row r="253" spans="1:8" ht="30.9" customHeight="1" x14ac:dyDescent="0.3">
      <c r="B253" s="27" t="s">
        <v>291</v>
      </c>
      <c r="C253" s="44" t="s">
        <v>884</v>
      </c>
      <c r="D253" s="30"/>
      <c r="E253" s="30"/>
      <c r="F253" s="30"/>
      <c r="G253" s="30"/>
      <c r="H253" s="30"/>
    </row>
    <row r="254" spans="1:8" ht="18" customHeight="1" x14ac:dyDescent="0.3">
      <c r="B254" s="27" t="s">
        <v>292</v>
      </c>
      <c r="C254" s="44" t="s">
        <v>620</v>
      </c>
      <c r="D254" s="30"/>
      <c r="E254" s="30"/>
      <c r="F254" s="30"/>
      <c r="G254" s="30"/>
      <c r="H254" s="30"/>
    </row>
    <row r="255" spans="1:8" ht="30.9" customHeight="1" x14ac:dyDescent="0.3">
      <c r="B255" s="27" t="s">
        <v>293</v>
      </c>
      <c r="C255" s="44" t="s">
        <v>885</v>
      </c>
      <c r="D255" s="30"/>
      <c r="E255" s="30"/>
      <c r="F255" s="30"/>
      <c r="G255" s="30"/>
      <c r="H255" s="30"/>
    </row>
    <row r="256" spans="1:8" ht="15.9" customHeight="1" x14ac:dyDescent="0.3">
      <c r="B256" s="43" t="s">
        <v>283</v>
      </c>
      <c r="C256" s="30"/>
      <c r="D256" s="30"/>
      <c r="E256" s="30"/>
      <c r="F256" s="30"/>
      <c r="G256" s="30"/>
      <c r="H256" s="30"/>
    </row>
    <row r="257" spans="2:8" ht="18" customHeight="1" x14ac:dyDescent="0.3">
      <c r="B257" s="27" t="s">
        <v>802</v>
      </c>
      <c r="C257" s="44" t="s">
        <v>1159</v>
      </c>
      <c r="D257" s="30"/>
      <c r="E257" s="30"/>
      <c r="F257" s="30"/>
      <c r="G257" s="30"/>
      <c r="H257" s="30"/>
    </row>
    <row r="258" spans="2:8" ht="18" customHeight="1" x14ac:dyDescent="0.3">
      <c r="B258" s="27" t="s">
        <v>803</v>
      </c>
      <c r="C258" s="44" t="s">
        <v>886</v>
      </c>
      <c r="D258" s="30"/>
      <c r="E258" s="30"/>
      <c r="F258" s="30"/>
      <c r="G258" s="30"/>
      <c r="H258" s="30"/>
    </row>
    <row r="259" spans="2:8" ht="18" customHeight="1" x14ac:dyDescent="0.3">
      <c r="B259" s="27" t="s">
        <v>294</v>
      </c>
      <c r="C259" s="44" t="s">
        <v>347</v>
      </c>
      <c r="D259" s="30"/>
      <c r="E259" s="30"/>
      <c r="F259" s="30"/>
      <c r="G259" s="30"/>
      <c r="H259" s="30"/>
    </row>
    <row r="260" spans="2:8" ht="18" customHeight="1" x14ac:dyDescent="0.3">
      <c r="B260" s="27" t="s">
        <v>295</v>
      </c>
      <c r="C260" s="44" t="s">
        <v>348</v>
      </c>
      <c r="D260" s="30"/>
      <c r="E260" s="30"/>
      <c r="F260" s="30"/>
      <c r="G260" s="30"/>
      <c r="H260" s="30"/>
    </row>
    <row r="261" spans="2:8" ht="18" customHeight="1" x14ac:dyDescent="0.3">
      <c r="B261" s="27" t="s">
        <v>296</v>
      </c>
      <c r="C261" s="44" t="s">
        <v>310</v>
      </c>
      <c r="D261" s="30"/>
      <c r="E261" s="30"/>
      <c r="F261" s="30"/>
      <c r="G261" s="30"/>
      <c r="H261" s="30"/>
    </row>
    <row r="262" spans="2:8" ht="15.9" customHeight="1" x14ac:dyDescent="0.3">
      <c r="B262" s="43" t="s">
        <v>801</v>
      </c>
      <c r="C262" s="30"/>
      <c r="D262" s="30"/>
      <c r="E262" s="30"/>
      <c r="F262" s="30"/>
      <c r="G262" s="30"/>
      <c r="H262" s="30"/>
    </row>
    <row r="263" spans="2:8" ht="18" customHeight="1" x14ac:dyDescent="0.3">
      <c r="B263" s="27" t="s">
        <v>804</v>
      </c>
      <c r="C263" s="44" t="s">
        <v>887</v>
      </c>
      <c r="D263" s="30"/>
      <c r="E263" s="30"/>
      <c r="F263" s="30"/>
      <c r="G263" s="30"/>
      <c r="H263" s="30"/>
    </row>
    <row r="264" spans="2:8" ht="18" customHeight="1" x14ac:dyDescent="0.3">
      <c r="B264" s="27" t="s">
        <v>805</v>
      </c>
      <c r="C264" s="44" t="s">
        <v>888</v>
      </c>
      <c r="D264" s="30"/>
      <c r="E264" s="30"/>
      <c r="F264" s="30"/>
      <c r="G264" s="30"/>
      <c r="H264" s="30"/>
    </row>
    <row r="265" spans="2:8" ht="18" customHeight="1" x14ac:dyDescent="0.3">
      <c r="B265" s="27" t="s">
        <v>806</v>
      </c>
      <c r="C265" s="44" t="s">
        <v>889</v>
      </c>
      <c r="D265" s="30"/>
      <c r="E265" s="30"/>
      <c r="F265" s="30"/>
      <c r="G265" s="30"/>
      <c r="H265" s="30"/>
    </row>
    <row r="266" spans="2:8" ht="18" customHeight="1" x14ac:dyDescent="0.3">
      <c r="B266" s="27" t="s">
        <v>807</v>
      </c>
      <c r="C266" s="44" t="s">
        <v>890</v>
      </c>
      <c r="D266" s="30"/>
      <c r="E266" s="30"/>
      <c r="F266" s="30"/>
      <c r="G266" s="30"/>
      <c r="H266" s="30"/>
    </row>
    <row r="267" spans="2:8" ht="18" customHeight="1" x14ac:dyDescent="0.3">
      <c r="B267" s="27" t="s">
        <v>808</v>
      </c>
      <c r="C267" s="44" t="s">
        <v>830</v>
      </c>
      <c r="D267" s="30"/>
      <c r="E267" s="30"/>
      <c r="F267" s="30"/>
      <c r="G267" s="30"/>
      <c r="H267" s="30"/>
    </row>
    <row r="268" spans="2:8" ht="15.9" customHeight="1" x14ac:dyDescent="0.3">
      <c r="B268" s="43" t="s">
        <v>285</v>
      </c>
      <c r="C268" s="30"/>
      <c r="D268" s="30"/>
      <c r="E268" s="30"/>
      <c r="F268" s="30"/>
      <c r="G268" s="30"/>
      <c r="H268" s="30"/>
    </row>
    <row r="269" spans="2:8" ht="18" customHeight="1" x14ac:dyDescent="0.3">
      <c r="B269" s="27" t="s">
        <v>809</v>
      </c>
      <c r="C269" s="44" t="s">
        <v>891</v>
      </c>
      <c r="D269" s="30"/>
      <c r="E269" s="30"/>
      <c r="F269" s="30"/>
      <c r="G269" s="30"/>
      <c r="H269" s="30"/>
    </row>
    <row r="270" spans="2:8" ht="18" customHeight="1" x14ac:dyDescent="0.3">
      <c r="B270" s="27" t="s">
        <v>302</v>
      </c>
      <c r="C270" s="44" t="s">
        <v>313</v>
      </c>
      <c r="D270" s="30"/>
      <c r="E270" s="30"/>
      <c r="F270" s="30"/>
      <c r="G270" s="30"/>
      <c r="H270" s="30"/>
    </row>
    <row r="271" spans="2:8" ht="18" customHeight="1" x14ac:dyDescent="0.3">
      <c r="B271" s="27" t="s">
        <v>304</v>
      </c>
      <c r="C271" s="44" t="s">
        <v>892</v>
      </c>
      <c r="D271" s="30"/>
      <c r="E271" s="30"/>
      <c r="F271" s="30"/>
      <c r="G271" s="30"/>
      <c r="H271" s="30"/>
    </row>
    <row r="274" spans="1:8" ht="21.9" customHeight="1" x14ac:dyDescent="0.3">
      <c r="A274" s="45" t="s">
        <v>1160</v>
      </c>
      <c r="B274" s="30"/>
      <c r="C274" s="30"/>
      <c r="D274" s="30"/>
      <c r="E274" s="30"/>
      <c r="F274" s="30"/>
      <c r="G274" s="30"/>
      <c r="H274" s="30"/>
    </row>
    <row r="276" spans="1:8" ht="15.9" customHeight="1" x14ac:dyDescent="0.3">
      <c r="B276" s="43" t="s">
        <v>3</v>
      </c>
      <c r="C276" s="30"/>
      <c r="D276" s="30"/>
      <c r="E276" s="30"/>
      <c r="F276" s="30"/>
      <c r="G276" s="30"/>
      <c r="H276" s="30"/>
    </row>
    <row r="277" spans="1:8" ht="18" customHeight="1" x14ac:dyDescent="0.3">
      <c r="B277" s="27" t="s">
        <v>286</v>
      </c>
      <c r="C277" s="44" t="s">
        <v>893</v>
      </c>
      <c r="D277" s="30"/>
      <c r="E277" s="30"/>
      <c r="F277" s="30"/>
      <c r="G277" s="30"/>
      <c r="H277" s="30"/>
    </row>
    <row r="278" spans="1:8" ht="18" customHeight="1" x14ac:dyDescent="0.3">
      <c r="B278" s="27" t="s">
        <v>287</v>
      </c>
      <c r="C278" s="44" t="s">
        <v>894</v>
      </c>
      <c r="D278" s="30"/>
      <c r="E278" s="30"/>
      <c r="F278" s="30"/>
      <c r="G278" s="30"/>
      <c r="H278" s="30"/>
    </row>
    <row r="279" spans="1:8" ht="18" customHeight="1" x14ac:dyDescent="0.3">
      <c r="B279" s="27" t="s">
        <v>288</v>
      </c>
      <c r="C279" s="44" t="s">
        <v>169</v>
      </c>
      <c r="D279" s="30"/>
      <c r="E279" s="30"/>
      <c r="F279" s="30"/>
      <c r="G279" s="30"/>
      <c r="H279" s="30"/>
    </row>
    <row r="280" spans="1:8" ht="18" customHeight="1" x14ac:dyDescent="0.3">
      <c r="B280" s="27" t="s">
        <v>289</v>
      </c>
      <c r="C280" s="44" t="s">
        <v>1093</v>
      </c>
      <c r="D280" s="30"/>
      <c r="E280" s="30"/>
      <c r="F280" s="30"/>
      <c r="G280" s="30"/>
      <c r="H280" s="30"/>
    </row>
    <row r="281" spans="1:8" ht="18" customHeight="1" x14ac:dyDescent="0.3">
      <c r="B281" s="27" t="s">
        <v>290</v>
      </c>
      <c r="C281" s="44" t="s">
        <v>166</v>
      </c>
      <c r="D281" s="30"/>
      <c r="E281" s="30"/>
      <c r="F281" s="30"/>
      <c r="G281" s="30"/>
      <c r="H281" s="30"/>
    </row>
    <row r="282" spans="1:8" ht="15.9" customHeight="1" x14ac:dyDescent="0.3">
      <c r="B282" s="43" t="s">
        <v>282</v>
      </c>
      <c r="C282" s="30"/>
      <c r="D282" s="30"/>
      <c r="E282" s="30"/>
      <c r="F282" s="30"/>
      <c r="G282" s="30"/>
      <c r="H282" s="30"/>
    </row>
    <row r="283" spans="1:8" ht="44.1" customHeight="1" x14ac:dyDescent="0.3">
      <c r="B283" s="27" t="s">
        <v>291</v>
      </c>
      <c r="C283" s="44" t="s">
        <v>895</v>
      </c>
      <c r="D283" s="30"/>
      <c r="E283" s="30"/>
      <c r="F283" s="30"/>
      <c r="G283" s="30"/>
      <c r="H283" s="30"/>
    </row>
    <row r="284" spans="1:8" ht="18" customHeight="1" x14ac:dyDescent="0.3">
      <c r="B284" s="27" t="s">
        <v>292</v>
      </c>
      <c r="C284" s="44" t="s">
        <v>896</v>
      </c>
      <c r="D284" s="30"/>
      <c r="E284" s="30"/>
      <c r="F284" s="30"/>
      <c r="G284" s="30"/>
      <c r="H284" s="30"/>
    </row>
    <row r="285" spans="1:8" ht="30.9" customHeight="1" x14ac:dyDescent="0.3">
      <c r="B285" s="27" t="s">
        <v>293</v>
      </c>
      <c r="C285" s="44" t="s">
        <v>897</v>
      </c>
      <c r="D285" s="30"/>
      <c r="E285" s="30"/>
      <c r="F285" s="30"/>
      <c r="G285" s="30"/>
      <c r="H285" s="30"/>
    </row>
    <row r="286" spans="1:8" ht="15.9" customHeight="1" x14ac:dyDescent="0.3">
      <c r="B286" s="43" t="s">
        <v>283</v>
      </c>
      <c r="C286" s="30"/>
      <c r="D286" s="30"/>
      <c r="E286" s="30"/>
      <c r="F286" s="30"/>
      <c r="G286" s="30"/>
      <c r="H286" s="30"/>
    </row>
    <row r="287" spans="1:8" ht="18" customHeight="1" x14ac:dyDescent="0.3">
      <c r="B287" s="27" t="s">
        <v>802</v>
      </c>
      <c r="C287" s="44" t="s">
        <v>1159</v>
      </c>
      <c r="D287" s="30"/>
      <c r="E287" s="30"/>
      <c r="F287" s="30"/>
      <c r="G287" s="30"/>
      <c r="H287" s="30"/>
    </row>
    <row r="288" spans="1:8" ht="18" customHeight="1" x14ac:dyDescent="0.3">
      <c r="B288" s="27" t="s">
        <v>803</v>
      </c>
      <c r="C288" s="44" t="s">
        <v>886</v>
      </c>
      <c r="D288" s="30"/>
      <c r="E288" s="30"/>
      <c r="F288" s="30"/>
      <c r="G288" s="30"/>
      <c r="H288" s="30"/>
    </row>
    <row r="289" spans="1:8" ht="18" customHeight="1" x14ac:dyDescent="0.3">
      <c r="B289" s="27" t="s">
        <v>294</v>
      </c>
      <c r="C289" s="44" t="s">
        <v>308</v>
      </c>
      <c r="D289" s="30"/>
      <c r="E289" s="30"/>
      <c r="F289" s="30"/>
      <c r="G289" s="30"/>
      <c r="H289" s="30"/>
    </row>
    <row r="290" spans="1:8" ht="18" customHeight="1" x14ac:dyDescent="0.3">
      <c r="B290" s="27" t="s">
        <v>295</v>
      </c>
      <c r="C290" s="44" t="s">
        <v>309</v>
      </c>
      <c r="D290" s="30"/>
      <c r="E290" s="30"/>
      <c r="F290" s="30"/>
      <c r="G290" s="30"/>
      <c r="H290" s="30"/>
    </row>
    <row r="291" spans="1:8" ht="18" customHeight="1" x14ac:dyDescent="0.3">
      <c r="B291" s="27" t="s">
        <v>296</v>
      </c>
      <c r="C291" s="44" t="s">
        <v>310</v>
      </c>
      <c r="D291" s="30"/>
      <c r="E291" s="30"/>
      <c r="F291" s="30"/>
      <c r="G291" s="30"/>
      <c r="H291" s="30"/>
    </row>
    <row r="292" spans="1:8" ht="15.9" customHeight="1" x14ac:dyDescent="0.3">
      <c r="B292" s="43" t="s">
        <v>801</v>
      </c>
      <c r="C292" s="30"/>
      <c r="D292" s="30"/>
      <c r="E292" s="30"/>
      <c r="F292" s="30"/>
      <c r="G292" s="30"/>
      <c r="H292" s="30"/>
    </row>
    <row r="293" spans="1:8" ht="18" customHeight="1" x14ac:dyDescent="0.3">
      <c r="B293" s="27" t="s">
        <v>804</v>
      </c>
      <c r="C293" s="44" t="s">
        <v>898</v>
      </c>
      <c r="D293" s="30"/>
      <c r="E293" s="30"/>
      <c r="F293" s="30"/>
      <c r="G293" s="30"/>
      <c r="H293" s="30"/>
    </row>
    <row r="294" spans="1:8" ht="18" customHeight="1" x14ac:dyDescent="0.3">
      <c r="B294" s="27" t="s">
        <v>805</v>
      </c>
      <c r="C294" s="44" t="s">
        <v>888</v>
      </c>
      <c r="D294" s="30"/>
      <c r="E294" s="30"/>
      <c r="F294" s="30"/>
      <c r="G294" s="30"/>
      <c r="H294" s="30"/>
    </row>
    <row r="295" spans="1:8" ht="18" customHeight="1" x14ac:dyDescent="0.3">
      <c r="B295" s="27" t="s">
        <v>806</v>
      </c>
      <c r="C295" s="44" t="s">
        <v>899</v>
      </c>
      <c r="D295" s="30"/>
      <c r="E295" s="30"/>
      <c r="F295" s="30"/>
      <c r="G295" s="30"/>
      <c r="H295" s="30"/>
    </row>
    <row r="296" spans="1:8" ht="18" customHeight="1" x14ac:dyDescent="0.3">
      <c r="B296" s="27" t="s">
        <v>807</v>
      </c>
      <c r="C296" s="44" t="s">
        <v>900</v>
      </c>
      <c r="D296" s="30"/>
      <c r="E296" s="30"/>
      <c r="F296" s="30"/>
      <c r="G296" s="30"/>
      <c r="H296" s="30"/>
    </row>
    <row r="297" spans="1:8" ht="18" customHeight="1" x14ac:dyDescent="0.3">
      <c r="B297" s="27" t="s">
        <v>808</v>
      </c>
      <c r="C297" s="44" t="s">
        <v>830</v>
      </c>
      <c r="D297" s="30"/>
      <c r="E297" s="30"/>
      <c r="F297" s="30"/>
      <c r="G297" s="30"/>
      <c r="H297" s="30"/>
    </row>
    <row r="298" spans="1:8" ht="15.9" customHeight="1" x14ac:dyDescent="0.3">
      <c r="B298" s="43" t="s">
        <v>285</v>
      </c>
      <c r="C298" s="30"/>
      <c r="D298" s="30"/>
      <c r="E298" s="30"/>
      <c r="F298" s="30"/>
      <c r="G298" s="30"/>
      <c r="H298" s="30"/>
    </row>
    <row r="299" spans="1:8" ht="18" customHeight="1" x14ac:dyDescent="0.3">
      <c r="B299" s="27" t="s">
        <v>809</v>
      </c>
      <c r="C299" s="44" t="s">
        <v>901</v>
      </c>
      <c r="D299" s="30"/>
      <c r="E299" s="30"/>
      <c r="F299" s="30"/>
      <c r="G299" s="30"/>
      <c r="H299" s="30"/>
    </row>
    <row r="300" spans="1:8" ht="18" customHeight="1" x14ac:dyDescent="0.3">
      <c r="B300" s="27" t="s">
        <v>302</v>
      </c>
      <c r="C300" s="44" t="s">
        <v>882</v>
      </c>
      <c r="D300" s="30"/>
      <c r="E300" s="30"/>
      <c r="F300" s="30"/>
      <c r="G300" s="30"/>
      <c r="H300" s="30"/>
    </row>
    <row r="301" spans="1:8" ht="18" customHeight="1" x14ac:dyDescent="0.3">
      <c r="B301" s="27" t="s">
        <v>304</v>
      </c>
      <c r="C301" s="44" t="s">
        <v>1095</v>
      </c>
      <c r="D301" s="30"/>
      <c r="E301" s="30"/>
      <c r="F301" s="30"/>
      <c r="G301" s="30"/>
      <c r="H301" s="30"/>
    </row>
    <row r="304" spans="1:8" ht="21.9" customHeight="1" x14ac:dyDescent="0.3">
      <c r="A304" s="45" t="s">
        <v>1161</v>
      </c>
      <c r="B304" s="30"/>
      <c r="C304" s="30"/>
      <c r="D304" s="30"/>
      <c r="E304" s="30"/>
      <c r="F304" s="30"/>
      <c r="G304" s="30"/>
      <c r="H304" s="30"/>
    </row>
    <row r="306" spans="2:8" ht="15.9" customHeight="1" x14ac:dyDescent="0.3">
      <c r="B306" s="43" t="s">
        <v>3</v>
      </c>
      <c r="C306" s="30"/>
      <c r="D306" s="30"/>
      <c r="E306" s="30"/>
      <c r="F306" s="30"/>
      <c r="G306" s="30"/>
      <c r="H306" s="30"/>
    </row>
    <row r="307" spans="2:8" ht="18" customHeight="1" x14ac:dyDescent="0.3">
      <c r="B307" s="27" t="s">
        <v>286</v>
      </c>
      <c r="C307" s="44" t="s">
        <v>902</v>
      </c>
      <c r="D307" s="30"/>
      <c r="E307" s="30"/>
      <c r="F307" s="30"/>
      <c r="G307" s="30"/>
      <c r="H307" s="30"/>
    </row>
    <row r="308" spans="2:8" ht="18" customHeight="1" x14ac:dyDescent="0.3">
      <c r="B308" s="27" t="s">
        <v>287</v>
      </c>
      <c r="C308" s="44" t="s">
        <v>903</v>
      </c>
      <c r="D308" s="30"/>
      <c r="E308" s="30"/>
      <c r="F308" s="30"/>
      <c r="G308" s="30"/>
      <c r="H308" s="30"/>
    </row>
    <row r="309" spans="2:8" ht="18" customHeight="1" x14ac:dyDescent="0.3">
      <c r="B309" s="27" t="s">
        <v>288</v>
      </c>
      <c r="C309" s="44" t="s">
        <v>169</v>
      </c>
      <c r="D309" s="30"/>
      <c r="E309" s="30"/>
      <c r="F309" s="30"/>
      <c r="G309" s="30"/>
      <c r="H309" s="30"/>
    </row>
    <row r="310" spans="2:8" ht="18" customHeight="1" x14ac:dyDescent="0.3">
      <c r="B310" s="27" t="s">
        <v>289</v>
      </c>
      <c r="C310" s="44" t="s">
        <v>1093</v>
      </c>
      <c r="D310" s="30"/>
      <c r="E310" s="30"/>
      <c r="F310" s="30"/>
      <c r="G310" s="30"/>
      <c r="H310" s="30"/>
    </row>
    <row r="311" spans="2:8" ht="18" customHeight="1" x14ac:dyDescent="0.3">
      <c r="B311" s="27" t="s">
        <v>290</v>
      </c>
      <c r="C311" s="44" t="s">
        <v>166</v>
      </c>
      <c r="D311" s="30"/>
      <c r="E311" s="30"/>
      <c r="F311" s="30"/>
      <c r="G311" s="30"/>
      <c r="H311" s="30"/>
    </row>
    <row r="312" spans="2:8" ht="15.9" customHeight="1" x14ac:dyDescent="0.3">
      <c r="B312" s="43" t="s">
        <v>282</v>
      </c>
      <c r="C312" s="30"/>
      <c r="D312" s="30"/>
      <c r="E312" s="30"/>
      <c r="F312" s="30"/>
      <c r="G312" s="30"/>
      <c r="H312" s="30"/>
    </row>
    <row r="313" spans="2:8" ht="30.9" customHeight="1" x14ac:dyDescent="0.3">
      <c r="B313" s="27" t="s">
        <v>291</v>
      </c>
      <c r="C313" s="44" t="s">
        <v>904</v>
      </c>
      <c r="D313" s="30"/>
      <c r="E313" s="30"/>
      <c r="F313" s="30"/>
      <c r="G313" s="30"/>
      <c r="H313" s="30"/>
    </row>
    <row r="314" spans="2:8" ht="18" customHeight="1" x14ac:dyDescent="0.3">
      <c r="B314" s="27" t="s">
        <v>292</v>
      </c>
      <c r="C314" s="44" t="s">
        <v>389</v>
      </c>
      <c r="D314" s="30"/>
      <c r="E314" s="30"/>
      <c r="F314" s="30"/>
      <c r="G314" s="30"/>
      <c r="H314" s="30"/>
    </row>
    <row r="315" spans="2:8" ht="30.9" customHeight="1" x14ac:dyDescent="0.3">
      <c r="B315" s="27" t="s">
        <v>293</v>
      </c>
      <c r="C315" s="44" t="s">
        <v>905</v>
      </c>
      <c r="D315" s="30"/>
      <c r="E315" s="30"/>
      <c r="F315" s="30"/>
      <c r="G315" s="30"/>
      <c r="H315" s="30"/>
    </row>
    <row r="316" spans="2:8" ht="15.9" customHeight="1" x14ac:dyDescent="0.3">
      <c r="B316" s="43" t="s">
        <v>283</v>
      </c>
      <c r="C316" s="30"/>
      <c r="D316" s="30"/>
      <c r="E316" s="30"/>
      <c r="F316" s="30"/>
      <c r="G316" s="30"/>
      <c r="H316" s="30"/>
    </row>
    <row r="317" spans="2:8" ht="18" customHeight="1" x14ac:dyDescent="0.3">
      <c r="B317" s="27" t="s">
        <v>802</v>
      </c>
      <c r="C317" s="44" t="s">
        <v>1159</v>
      </c>
      <c r="D317" s="30"/>
      <c r="E317" s="30"/>
      <c r="F317" s="30"/>
      <c r="G317" s="30"/>
      <c r="H317" s="30"/>
    </row>
    <row r="318" spans="2:8" ht="18" customHeight="1" x14ac:dyDescent="0.3">
      <c r="B318" s="27" t="s">
        <v>803</v>
      </c>
      <c r="C318" s="44" t="s">
        <v>886</v>
      </c>
      <c r="D318" s="30"/>
      <c r="E318" s="30"/>
      <c r="F318" s="30"/>
      <c r="G318" s="30"/>
      <c r="H318" s="30"/>
    </row>
    <row r="319" spans="2:8" ht="18" customHeight="1" x14ac:dyDescent="0.3">
      <c r="B319" s="27" t="s">
        <v>294</v>
      </c>
      <c r="C319" s="44" t="s">
        <v>308</v>
      </c>
      <c r="D319" s="30"/>
      <c r="E319" s="30"/>
      <c r="F319" s="30"/>
      <c r="G319" s="30"/>
      <c r="H319" s="30"/>
    </row>
    <row r="320" spans="2:8" ht="18" customHeight="1" x14ac:dyDescent="0.3">
      <c r="B320" s="27" t="s">
        <v>295</v>
      </c>
      <c r="C320" s="44" t="s">
        <v>309</v>
      </c>
      <c r="D320" s="30"/>
      <c r="E320" s="30"/>
      <c r="F320" s="30"/>
      <c r="G320" s="30"/>
      <c r="H320" s="30"/>
    </row>
    <row r="321" spans="1:8" ht="18" customHeight="1" x14ac:dyDescent="0.3">
      <c r="B321" s="27" t="s">
        <v>296</v>
      </c>
      <c r="C321" s="44" t="s">
        <v>310</v>
      </c>
      <c r="D321" s="30"/>
      <c r="E321" s="30"/>
      <c r="F321" s="30"/>
      <c r="G321" s="30"/>
      <c r="H321" s="30"/>
    </row>
    <row r="322" spans="1:8" ht="15.9" customHeight="1" x14ac:dyDescent="0.3">
      <c r="B322" s="43" t="s">
        <v>801</v>
      </c>
      <c r="C322" s="30"/>
      <c r="D322" s="30"/>
      <c r="E322" s="30"/>
      <c r="F322" s="30"/>
      <c r="G322" s="30"/>
      <c r="H322" s="30"/>
    </row>
    <row r="323" spans="1:8" ht="30.9" customHeight="1" x14ac:dyDescent="0.3">
      <c r="B323" s="27" t="s">
        <v>804</v>
      </c>
      <c r="C323" s="44" t="s">
        <v>906</v>
      </c>
      <c r="D323" s="30"/>
      <c r="E323" s="30"/>
      <c r="F323" s="30"/>
      <c r="G323" s="30"/>
      <c r="H323" s="30"/>
    </row>
    <row r="324" spans="1:8" ht="18" customHeight="1" x14ac:dyDescent="0.3">
      <c r="B324" s="27" t="s">
        <v>805</v>
      </c>
      <c r="C324" s="44" t="s">
        <v>816</v>
      </c>
      <c r="D324" s="30"/>
      <c r="E324" s="30"/>
      <c r="F324" s="30"/>
      <c r="G324" s="30"/>
      <c r="H324" s="30"/>
    </row>
    <row r="325" spans="1:8" ht="18" customHeight="1" x14ac:dyDescent="0.3">
      <c r="B325" s="27" t="s">
        <v>806</v>
      </c>
      <c r="C325" s="44" t="s">
        <v>907</v>
      </c>
      <c r="D325" s="30"/>
      <c r="E325" s="30"/>
      <c r="F325" s="30"/>
      <c r="G325" s="30"/>
      <c r="H325" s="30"/>
    </row>
    <row r="326" spans="1:8" ht="18" customHeight="1" x14ac:dyDescent="0.3">
      <c r="B326" s="27" t="s">
        <v>807</v>
      </c>
      <c r="C326" s="44" t="s">
        <v>908</v>
      </c>
      <c r="D326" s="30"/>
      <c r="E326" s="30"/>
      <c r="F326" s="30"/>
      <c r="G326" s="30"/>
      <c r="H326" s="30"/>
    </row>
    <row r="327" spans="1:8" ht="18" customHeight="1" x14ac:dyDescent="0.3">
      <c r="B327" s="27" t="s">
        <v>808</v>
      </c>
      <c r="C327" s="44" t="s">
        <v>819</v>
      </c>
      <c r="D327" s="30"/>
      <c r="E327" s="30"/>
      <c r="F327" s="30"/>
      <c r="G327" s="30"/>
      <c r="H327" s="30"/>
    </row>
    <row r="328" spans="1:8" ht="15.9" customHeight="1" x14ac:dyDescent="0.3">
      <c r="B328" s="43" t="s">
        <v>285</v>
      </c>
      <c r="C328" s="30"/>
      <c r="D328" s="30"/>
      <c r="E328" s="30"/>
      <c r="F328" s="30"/>
      <c r="G328" s="30"/>
      <c r="H328" s="30"/>
    </row>
    <row r="329" spans="1:8" ht="18" customHeight="1" x14ac:dyDescent="0.3">
      <c r="B329" s="27" t="s">
        <v>809</v>
      </c>
      <c r="C329" s="44" t="s">
        <v>909</v>
      </c>
      <c r="D329" s="30"/>
      <c r="E329" s="30"/>
      <c r="F329" s="30"/>
      <c r="G329" s="30"/>
      <c r="H329" s="30"/>
    </row>
    <row r="330" spans="1:8" ht="18" customHeight="1" x14ac:dyDescent="0.3">
      <c r="B330" s="27" t="s">
        <v>302</v>
      </c>
      <c r="C330" s="44" t="s">
        <v>313</v>
      </c>
      <c r="D330" s="30"/>
      <c r="E330" s="30"/>
      <c r="F330" s="30"/>
      <c r="G330" s="30"/>
      <c r="H330" s="30"/>
    </row>
    <row r="331" spans="1:8" ht="18" customHeight="1" x14ac:dyDescent="0.3">
      <c r="B331" s="27" t="s">
        <v>304</v>
      </c>
      <c r="C331" s="44" t="s">
        <v>1095</v>
      </c>
      <c r="D331" s="30"/>
      <c r="E331" s="30"/>
      <c r="F331" s="30"/>
      <c r="G331" s="30"/>
      <c r="H331" s="30"/>
    </row>
    <row r="334" spans="1:8" ht="21.9" customHeight="1" x14ac:dyDescent="0.3">
      <c r="A334" s="45" t="s">
        <v>1162</v>
      </c>
      <c r="B334" s="30"/>
      <c r="C334" s="30"/>
      <c r="D334" s="30"/>
      <c r="E334" s="30"/>
      <c r="F334" s="30"/>
      <c r="G334" s="30"/>
      <c r="H334" s="30"/>
    </row>
    <row r="336" spans="1:8" ht="15.9" customHeight="1" x14ac:dyDescent="0.3">
      <c r="B336" s="43" t="s">
        <v>3</v>
      </c>
      <c r="C336" s="30"/>
      <c r="D336" s="30"/>
      <c r="E336" s="30"/>
      <c r="F336" s="30"/>
      <c r="G336" s="30"/>
      <c r="H336" s="30"/>
    </row>
    <row r="337" spans="2:8" ht="18" customHeight="1" x14ac:dyDescent="0.3">
      <c r="B337" s="27" t="s">
        <v>286</v>
      </c>
      <c r="C337" s="44" t="s">
        <v>910</v>
      </c>
      <c r="D337" s="30"/>
      <c r="E337" s="30"/>
      <c r="F337" s="30"/>
      <c r="G337" s="30"/>
      <c r="H337" s="30"/>
    </row>
    <row r="338" spans="2:8" ht="18" customHeight="1" x14ac:dyDescent="0.3">
      <c r="B338" s="27" t="s">
        <v>287</v>
      </c>
      <c r="C338" s="44" t="s">
        <v>911</v>
      </c>
      <c r="D338" s="30"/>
      <c r="E338" s="30"/>
      <c r="F338" s="30"/>
      <c r="G338" s="30"/>
      <c r="H338" s="30"/>
    </row>
    <row r="339" spans="2:8" ht="18" customHeight="1" x14ac:dyDescent="0.3">
      <c r="B339" s="27" t="s">
        <v>288</v>
      </c>
      <c r="C339" s="44" t="s">
        <v>169</v>
      </c>
      <c r="D339" s="30"/>
      <c r="E339" s="30"/>
      <c r="F339" s="30"/>
      <c r="G339" s="30"/>
      <c r="H339" s="30"/>
    </row>
    <row r="340" spans="2:8" ht="18" customHeight="1" x14ac:dyDescent="0.3">
      <c r="B340" s="27" t="s">
        <v>289</v>
      </c>
      <c r="C340" s="44" t="s">
        <v>1093</v>
      </c>
      <c r="D340" s="30"/>
      <c r="E340" s="30"/>
      <c r="F340" s="30"/>
      <c r="G340" s="30"/>
      <c r="H340" s="30"/>
    </row>
    <row r="341" spans="2:8" ht="18" customHeight="1" x14ac:dyDescent="0.3">
      <c r="B341" s="27" t="s">
        <v>290</v>
      </c>
      <c r="C341" s="44" t="s">
        <v>166</v>
      </c>
      <c r="D341" s="30"/>
      <c r="E341" s="30"/>
      <c r="F341" s="30"/>
      <c r="G341" s="30"/>
      <c r="H341" s="30"/>
    </row>
    <row r="342" spans="2:8" ht="15.9" customHeight="1" x14ac:dyDescent="0.3">
      <c r="B342" s="43" t="s">
        <v>282</v>
      </c>
      <c r="C342" s="30"/>
      <c r="D342" s="30"/>
      <c r="E342" s="30"/>
      <c r="F342" s="30"/>
      <c r="G342" s="30"/>
      <c r="H342" s="30"/>
    </row>
    <row r="343" spans="2:8" ht="30.9" customHeight="1" x14ac:dyDescent="0.3">
      <c r="B343" s="27" t="s">
        <v>291</v>
      </c>
      <c r="C343" s="44" t="s">
        <v>912</v>
      </c>
      <c r="D343" s="30"/>
      <c r="E343" s="30"/>
      <c r="F343" s="30"/>
      <c r="G343" s="30"/>
      <c r="H343" s="30"/>
    </row>
    <row r="344" spans="2:8" ht="18" customHeight="1" x14ac:dyDescent="0.3">
      <c r="B344" s="27" t="s">
        <v>292</v>
      </c>
      <c r="C344" s="44" t="s">
        <v>913</v>
      </c>
      <c r="D344" s="30"/>
      <c r="E344" s="30"/>
      <c r="F344" s="30"/>
      <c r="G344" s="30"/>
      <c r="H344" s="30"/>
    </row>
    <row r="345" spans="2:8" ht="30.9" customHeight="1" x14ac:dyDescent="0.3">
      <c r="B345" s="27" t="s">
        <v>293</v>
      </c>
      <c r="C345" s="44" t="s">
        <v>914</v>
      </c>
      <c r="D345" s="30"/>
      <c r="E345" s="30"/>
      <c r="F345" s="30"/>
      <c r="G345" s="30"/>
      <c r="H345" s="30"/>
    </row>
    <row r="346" spans="2:8" ht="15.9" customHeight="1" x14ac:dyDescent="0.3">
      <c r="B346" s="43" t="s">
        <v>283</v>
      </c>
      <c r="C346" s="30"/>
      <c r="D346" s="30"/>
      <c r="E346" s="30"/>
      <c r="F346" s="30"/>
      <c r="G346" s="30"/>
      <c r="H346" s="30"/>
    </row>
    <row r="347" spans="2:8" ht="18" customHeight="1" x14ac:dyDescent="0.3">
      <c r="B347" s="27" t="s">
        <v>802</v>
      </c>
      <c r="C347" s="44" t="s">
        <v>1163</v>
      </c>
      <c r="D347" s="30"/>
      <c r="E347" s="30"/>
      <c r="F347" s="30"/>
      <c r="G347" s="30"/>
      <c r="H347" s="30"/>
    </row>
    <row r="348" spans="2:8" ht="18" customHeight="1" x14ac:dyDescent="0.3">
      <c r="B348" s="27" t="s">
        <v>803</v>
      </c>
      <c r="C348" s="44" t="s">
        <v>915</v>
      </c>
      <c r="D348" s="30"/>
      <c r="E348" s="30"/>
      <c r="F348" s="30"/>
      <c r="G348" s="30"/>
      <c r="H348" s="30"/>
    </row>
    <row r="349" spans="2:8" ht="18" customHeight="1" x14ac:dyDescent="0.3">
      <c r="B349" s="27" t="s">
        <v>294</v>
      </c>
      <c r="C349" s="44" t="s">
        <v>347</v>
      </c>
      <c r="D349" s="30"/>
      <c r="E349" s="30"/>
      <c r="F349" s="30"/>
      <c r="G349" s="30"/>
      <c r="H349" s="30"/>
    </row>
    <row r="350" spans="2:8" ht="18" customHeight="1" x14ac:dyDescent="0.3">
      <c r="B350" s="27" t="s">
        <v>295</v>
      </c>
      <c r="C350" s="44" t="s">
        <v>348</v>
      </c>
      <c r="D350" s="30"/>
      <c r="E350" s="30"/>
      <c r="F350" s="30"/>
      <c r="G350" s="30"/>
      <c r="H350" s="30"/>
    </row>
    <row r="351" spans="2:8" ht="18" customHeight="1" x14ac:dyDescent="0.3">
      <c r="B351" s="27" t="s">
        <v>296</v>
      </c>
      <c r="C351" s="44" t="s">
        <v>310</v>
      </c>
      <c r="D351" s="30"/>
      <c r="E351" s="30"/>
      <c r="F351" s="30"/>
      <c r="G351" s="30"/>
      <c r="H351" s="30"/>
    </row>
    <row r="352" spans="2:8" ht="15.9" customHeight="1" x14ac:dyDescent="0.3">
      <c r="B352" s="43" t="s">
        <v>801</v>
      </c>
      <c r="C352" s="30"/>
      <c r="D352" s="30"/>
      <c r="E352" s="30"/>
      <c r="F352" s="30"/>
      <c r="G352" s="30"/>
      <c r="H352" s="30"/>
    </row>
    <row r="353" spans="1:8" ht="18" customHeight="1" x14ac:dyDescent="0.3">
      <c r="B353" s="27" t="s">
        <v>804</v>
      </c>
      <c r="C353" s="44" t="s">
        <v>916</v>
      </c>
      <c r="D353" s="30"/>
      <c r="E353" s="30"/>
      <c r="F353" s="30"/>
      <c r="G353" s="30"/>
      <c r="H353" s="30"/>
    </row>
    <row r="354" spans="1:8" ht="18" customHeight="1" x14ac:dyDescent="0.3">
      <c r="B354" s="27" t="s">
        <v>805</v>
      </c>
      <c r="C354" s="44" t="s">
        <v>838</v>
      </c>
      <c r="D354" s="30"/>
      <c r="E354" s="30"/>
      <c r="F354" s="30"/>
      <c r="G354" s="30"/>
      <c r="H354" s="30"/>
    </row>
    <row r="355" spans="1:8" ht="18" customHeight="1" x14ac:dyDescent="0.3">
      <c r="B355" s="27" t="s">
        <v>806</v>
      </c>
      <c r="C355" s="44" t="s">
        <v>917</v>
      </c>
      <c r="D355" s="30"/>
      <c r="E355" s="30"/>
      <c r="F355" s="30"/>
      <c r="G355" s="30"/>
      <c r="H355" s="30"/>
    </row>
    <row r="356" spans="1:8" ht="18" customHeight="1" x14ac:dyDescent="0.3">
      <c r="B356" s="27" t="s">
        <v>807</v>
      </c>
      <c r="C356" s="44" t="s">
        <v>918</v>
      </c>
      <c r="D356" s="30"/>
      <c r="E356" s="30"/>
      <c r="F356" s="30"/>
      <c r="G356" s="30"/>
      <c r="H356" s="30"/>
    </row>
    <row r="357" spans="1:8" ht="18" customHeight="1" x14ac:dyDescent="0.3">
      <c r="B357" s="27" t="s">
        <v>808</v>
      </c>
      <c r="C357" s="44" t="s">
        <v>830</v>
      </c>
      <c r="D357" s="30"/>
      <c r="E357" s="30"/>
      <c r="F357" s="30"/>
      <c r="G357" s="30"/>
      <c r="H357" s="30"/>
    </row>
    <row r="358" spans="1:8" ht="15.9" customHeight="1" x14ac:dyDescent="0.3">
      <c r="B358" s="43" t="s">
        <v>285</v>
      </c>
      <c r="C358" s="30"/>
      <c r="D358" s="30"/>
      <c r="E358" s="30"/>
      <c r="F358" s="30"/>
      <c r="G358" s="30"/>
      <c r="H358" s="30"/>
    </row>
    <row r="359" spans="1:8" ht="18" customHeight="1" x14ac:dyDescent="0.3">
      <c r="B359" s="27" t="s">
        <v>809</v>
      </c>
      <c r="C359" s="44" t="s">
        <v>919</v>
      </c>
      <c r="D359" s="30"/>
      <c r="E359" s="30"/>
      <c r="F359" s="30"/>
      <c r="G359" s="30"/>
      <c r="H359" s="30"/>
    </row>
    <row r="360" spans="1:8" ht="18" customHeight="1" x14ac:dyDescent="0.3">
      <c r="B360" s="27" t="s">
        <v>302</v>
      </c>
      <c r="C360" s="44" t="s">
        <v>313</v>
      </c>
      <c r="D360" s="30"/>
      <c r="E360" s="30"/>
      <c r="F360" s="30"/>
      <c r="G360" s="30"/>
      <c r="H360" s="30"/>
    </row>
    <row r="361" spans="1:8" ht="18" customHeight="1" x14ac:dyDescent="0.3">
      <c r="B361" s="27" t="s">
        <v>304</v>
      </c>
      <c r="C361" s="44" t="s">
        <v>920</v>
      </c>
      <c r="D361" s="30"/>
      <c r="E361" s="30"/>
      <c r="F361" s="30"/>
      <c r="G361" s="30"/>
      <c r="H361" s="30"/>
    </row>
    <row r="364" spans="1:8" ht="21.9" customHeight="1" x14ac:dyDescent="0.3">
      <c r="A364" s="45" t="s">
        <v>1164</v>
      </c>
      <c r="B364" s="30"/>
      <c r="C364" s="30"/>
      <c r="D364" s="30"/>
      <c r="E364" s="30"/>
      <c r="F364" s="30"/>
      <c r="G364" s="30"/>
      <c r="H364" s="30"/>
    </row>
    <row r="366" spans="1:8" ht="15.9" customHeight="1" x14ac:dyDescent="0.3">
      <c r="B366" s="43" t="s">
        <v>3</v>
      </c>
      <c r="C366" s="30"/>
      <c r="D366" s="30"/>
      <c r="E366" s="30"/>
      <c r="F366" s="30"/>
      <c r="G366" s="30"/>
      <c r="H366" s="30"/>
    </row>
    <row r="367" spans="1:8" ht="18" customHeight="1" x14ac:dyDescent="0.3">
      <c r="B367" s="27" t="s">
        <v>286</v>
      </c>
      <c r="C367" s="44" t="s">
        <v>921</v>
      </c>
      <c r="D367" s="30"/>
      <c r="E367" s="30"/>
      <c r="F367" s="30"/>
      <c r="G367" s="30"/>
      <c r="H367" s="30"/>
    </row>
    <row r="368" spans="1:8" ht="18" customHeight="1" x14ac:dyDescent="0.3">
      <c r="B368" s="27" t="s">
        <v>287</v>
      </c>
      <c r="C368" s="44" t="s">
        <v>922</v>
      </c>
      <c r="D368" s="30"/>
      <c r="E368" s="30"/>
      <c r="F368" s="30"/>
      <c r="G368" s="30"/>
      <c r="H368" s="30"/>
    </row>
    <row r="369" spans="2:8" ht="18" customHeight="1" x14ac:dyDescent="0.3">
      <c r="B369" s="27" t="s">
        <v>288</v>
      </c>
      <c r="C369" s="44" t="s">
        <v>169</v>
      </c>
      <c r="D369" s="30"/>
      <c r="E369" s="30"/>
      <c r="F369" s="30"/>
      <c r="G369" s="30"/>
      <c r="H369" s="30"/>
    </row>
    <row r="370" spans="2:8" ht="18" customHeight="1" x14ac:dyDescent="0.3">
      <c r="B370" s="27" t="s">
        <v>289</v>
      </c>
      <c r="C370" s="44" t="s">
        <v>1093</v>
      </c>
      <c r="D370" s="30"/>
      <c r="E370" s="30"/>
      <c r="F370" s="30"/>
      <c r="G370" s="30"/>
      <c r="H370" s="30"/>
    </row>
    <row r="371" spans="2:8" ht="18" customHeight="1" x14ac:dyDescent="0.3">
      <c r="B371" s="27" t="s">
        <v>290</v>
      </c>
      <c r="C371" s="44" t="s">
        <v>166</v>
      </c>
      <c r="D371" s="30"/>
      <c r="E371" s="30"/>
      <c r="F371" s="30"/>
      <c r="G371" s="30"/>
      <c r="H371" s="30"/>
    </row>
    <row r="372" spans="2:8" ht="15.9" customHeight="1" x14ac:dyDescent="0.3">
      <c r="B372" s="43" t="s">
        <v>282</v>
      </c>
      <c r="C372" s="30"/>
      <c r="D372" s="30"/>
      <c r="E372" s="30"/>
      <c r="F372" s="30"/>
      <c r="G372" s="30"/>
      <c r="H372" s="30"/>
    </row>
    <row r="373" spans="2:8" ht="44.1" customHeight="1" x14ac:dyDescent="0.3">
      <c r="B373" s="27" t="s">
        <v>291</v>
      </c>
      <c r="C373" s="44" t="s">
        <v>923</v>
      </c>
      <c r="D373" s="30"/>
      <c r="E373" s="30"/>
      <c r="F373" s="30"/>
      <c r="G373" s="30"/>
      <c r="H373" s="30"/>
    </row>
    <row r="374" spans="2:8" ht="18" customHeight="1" x14ac:dyDescent="0.3">
      <c r="B374" s="27" t="s">
        <v>292</v>
      </c>
      <c r="C374" s="44" t="s">
        <v>389</v>
      </c>
      <c r="D374" s="30"/>
      <c r="E374" s="30"/>
      <c r="F374" s="30"/>
      <c r="G374" s="30"/>
      <c r="H374" s="30"/>
    </row>
    <row r="375" spans="2:8" ht="44.1" customHeight="1" x14ac:dyDescent="0.3">
      <c r="B375" s="27" t="s">
        <v>293</v>
      </c>
      <c r="C375" s="44" t="s">
        <v>924</v>
      </c>
      <c r="D375" s="30"/>
      <c r="E375" s="30"/>
      <c r="F375" s="30"/>
      <c r="G375" s="30"/>
      <c r="H375" s="30"/>
    </row>
    <row r="376" spans="2:8" ht="15.9" customHeight="1" x14ac:dyDescent="0.3">
      <c r="B376" s="43" t="s">
        <v>283</v>
      </c>
      <c r="C376" s="30"/>
      <c r="D376" s="30"/>
      <c r="E376" s="30"/>
      <c r="F376" s="30"/>
      <c r="G376" s="30"/>
      <c r="H376" s="30"/>
    </row>
    <row r="377" spans="2:8" ht="18" customHeight="1" x14ac:dyDescent="0.3">
      <c r="B377" s="27" t="s">
        <v>802</v>
      </c>
      <c r="C377" s="44" t="s">
        <v>1165</v>
      </c>
      <c r="D377" s="30"/>
      <c r="E377" s="30"/>
      <c r="F377" s="30"/>
      <c r="G377" s="30"/>
      <c r="H377" s="30"/>
    </row>
    <row r="378" spans="2:8" ht="18" customHeight="1" x14ac:dyDescent="0.3">
      <c r="B378" s="27" t="s">
        <v>803</v>
      </c>
      <c r="C378" s="44" t="s">
        <v>925</v>
      </c>
      <c r="D378" s="30"/>
      <c r="E378" s="30"/>
      <c r="F378" s="30"/>
      <c r="G378" s="30"/>
      <c r="H378" s="30"/>
    </row>
    <row r="379" spans="2:8" ht="18" customHeight="1" x14ac:dyDescent="0.3">
      <c r="B379" s="27" t="s">
        <v>294</v>
      </c>
      <c r="C379" s="44" t="s">
        <v>308</v>
      </c>
      <c r="D379" s="30"/>
      <c r="E379" s="30"/>
      <c r="F379" s="30"/>
      <c r="G379" s="30"/>
      <c r="H379" s="30"/>
    </row>
    <row r="380" spans="2:8" ht="18" customHeight="1" x14ac:dyDescent="0.3">
      <c r="B380" s="27" t="s">
        <v>295</v>
      </c>
      <c r="C380" s="44" t="s">
        <v>309</v>
      </c>
      <c r="D380" s="30"/>
      <c r="E380" s="30"/>
      <c r="F380" s="30"/>
      <c r="G380" s="30"/>
      <c r="H380" s="30"/>
    </row>
    <row r="381" spans="2:8" ht="18" customHeight="1" x14ac:dyDescent="0.3">
      <c r="B381" s="27" t="s">
        <v>296</v>
      </c>
      <c r="C381" s="44" t="s">
        <v>509</v>
      </c>
      <c r="D381" s="30"/>
      <c r="E381" s="30"/>
      <c r="F381" s="30"/>
      <c r="G381" s="30"/>
      <c r="H381" s="30"/>
    </row>
    <row r="382" spans="2:8" ht="15.9" customHeight="1" x14ac:dyDescent="0.3">
      <c r="B382" s="43" t="s">
        <v>801</v>
      </c>
      <c r="C382" s="30"/>
      <c r="D382" s="30"/>
      <c r="E382" s="30"/>
      <c r="F382" s="30"/>
      <c r="G382" s="30"/>
      <c r="H382" s="30"/>
    </row>
    <row r="383" spans="2:8" ht="30.9" customHeight="1" x14ac:dyDescent="0.3">
      <c r="B383" s="27" t="s">
        <v>804</v>
      </c>
      <c r="C383" s="44" t="s">
        <v>926</v>
      </c>
      <c r="D383" s="30"/>
      <c r="E383" s="30"/>
      <c r="F383" s="30"/>
      <c r="G383" s="30"/>
      <c r="H383" s="30"/>
    </row>
    <row r="384" spans="2:8" ht="18" customHeight="1" x14ac:dyDescent="0.3">
      <c r="B384" s="27" t="s">
        <v>805</v>
      </c>
      <c r="C384" s="44" t="s">
        <v>838</v>
      </c>
      <c r="D384" s="30"/>
      <c r="E384" s="30"/>
      <c r="F384" s="30"/>
      <c r="G384" s="30"/>
      <c r="H384" s="30"/>
    </row>
    <row r="385" spans="1:8" ht="18" customHeight="1" x14ac:dyDescent="0.3">
      <c r="B385" s="27" t="s">
        <v>806</v>
      </c>
      <c r="C385" s="44" t="s">
        <v>927</v>
      </c>
      <c r="D385" s="30"/>
      <c r="E385" s="30"/>
      <c r="F385" s="30"/>
      <c r="G385" s="30"/>
      <c r="H385" s="30"/>
    </row>
    <row r="386" spans="1:8" ht="30.9" customHeight="1" x14ac:dyDescent="0.3">
      <c r="B386" s="27" t="s">
        <v>807</v>
      </c>
      <c r="C386" s="44" t="s">
        <v>928</v>
      </c>
      <c r="D386" s="30"/>
      <c r="E386" s="30"/>
      <c r="F386" s="30"/>
      <c r="G386" s="30"/>
      <c r="H386" s="30"/>
    </row>
    <row r="387" spans="1:8" ht="18" customHeight="1" x14ac:dyDescent="0.3">
      <c r="B387" s="27" t="s">
        <v>808</v>
      </c>
      <c r="C387" s="44" t="s">
        <v>830</v>
      </c>
      <c r="D387" s="30"/>
      <c r="E387" s="30"/>
      <c r="F387" s="30"/>
      <c r="G387" s="30"/>
      <c r="H387" s="30"/>
    </row>
    <row r="388" spans="1:8" ht="15.9" customHeight="1" x14ac:dyDescent="0.3">
      <c r="B388" s="43" t="s">
        <v>285</v>
      </c>
      <c r="C388" s="30"/>
      <c r="D388" s="30"/>
      <c r="E388" s="30"/>
      <c r="F388" s="30"/>
      <c r="G388" s="30"/>
      <c r="H388" s="30"/>
    </row>
    <row r="389" spans="1:8" ht="18" customHeight="1" x14ac:dyDescent="0.3">
      <c r="B389" s="27" t="s">
        <v>809</v>
      </c>
      <c r="C389" s="44" t="s">
        <v>929</v>
      </c>
      <c r="D389" s="30"/>
      <c r="E389" s="30"/>
      <c r="F389" s="30"/>
      <c r="G389" s="30"/>
      <c r="H389" s="30"/>
    </row>
    <row r="390" spans="1:8" ht="18" customHeight="1" x14ac:dyDescent="0.3">
      <c r="B390" s="27" t="s">
        <v>302</v>
      </c>
      <c r="C390" s="44" t="s">
        <v>313</v>
      </c>
      <c r="D390" s="30"/>
      <c r="E390" s="30"/>
      <c r="F390" s="30"/>
      <c r="G390" s="30"/>
      <c r="H390" s="30"/>
    </row>
    <row r="391" spans="1:8" ht="18" customHeight="1" x14ac:dyDescent="0.3">
      <c r="B391" s="27" t="s">
        <v>304</v>
      </c>
      <c r="C391" s="44" t="s">
        <v>930</v>
      </c>
      <c r="D391" s="30"/>
      <c r="E391" s="30"/>
      <c r="F391" s="30"/>
      <c r="G391" s="30"/>
      <c r="H391" s="30"/>
    </row>
    <row r="394" spans="1:8" ht="21.9" customHeight="1" x14ac:dyDescent="0.3">
      <c r="A394" s="45" t="s">
        <v>1166</v>
      </c>
      <c r="B394" s="30"/>
      <c r="C394" s="30"/>
      <c r="D394" s="30"/>
      <c r="E394" s="30"/>
      <c r="F394" s="30"/>
      <c r="G394" s="30"/>
      <c r="H394" s="30"/>
    </row>
    <row r="396" spans="1:8" ht="15.9" customHeight="1" x14ac:dyDescent="0.3">
      <c r="B396" s="43" t="s">
        <v>3</v>
      </c>
      <c r="C396" s="30"/>
      <c r="D396" s="30"/>
      <c r="E396" s="30"/>
      <c r="F396" s="30"/>
      <c r="G396" s="30"/>
      <c r="H396" s="30"/>
    </row>
    <row r="397" spans="1:8" ht="18" customHeight="1" x14ac:dyDescent="0.3">
      <c r="B397" s="27" t="s">
        <v>286</v>
      </c>
      <c r="C397" s="44" t="s">
        <v>931</v>
      </c>
      <c r="D397" s="30"/>
      <c r="E397" s="30"/>
      <c r="F397" s="30"/>
      <c r="G397" s="30"/>
      <c r="H397" s="30"/>
    </row>
    <row r="398" spans="1:8" ht="18" customHeight="1" x14ac:dyDescent="0.3">
      <c r="B398" s="27" t="s">
        <v>287</v>
      </c>
      <c r="C398" s="44" t="s">
        <v>932</v>
      </c>
      <c r="D398" s="30"/>
      <c r="E398" s="30"/>
      <c r="F398" s="30"/>
      <c r="G398" s="30"/>
      <c r="H398" s="30"/>
    </row>
    <row r="399" spans="1:8" ht="18" customHeight="1" x14ac:dyDescent="0.3">
      <c r="B399" s="27" t="s">
        <v>288</v>
      </c>
      <c r="C399" s="44" t="s">
        <v>169</v>
      </c>
      <c r="D399" s="30"/>
      <c r="E399" s="30"/>
      <c r="F399" s="30"/>
      <c r="G399" s="30"/>
      <c r="H399" s="30"/>
    </row>
    <row r="400" spans="1:8" ht="18" customHeight="1" x14ac:dyDescent="0.3">
      <c r="B400" s="27" t="s">
        <v>289</v>
      </c>
      <c r="C400" s="44" t="s">
        <v>1093</v>
      </c>
      <c r="D400" s="30"/>
      <c r="E400" s="30"/>
      <c r="F400" s="30"/>
      <c r="G400" s="30"/>
      <c r="H400" s="30"/>
    </row>
    <row r="401" spans="2:8" ht="18" customHeight="1" x14ac:dyDescent="0.3">
      <c r="B401" s="27" t="s">
        <v>290</v>
      </c>
      <c r="C401" s="44" t="s">
        <v>166</v>
      </c>
      <c r="D401" s="30"/>
      <c r="E401" s="30"/>
      <c r="F401" s="30"/>
      <c r="G401" s="30"/>
      <c r="H401" s="30"/>
    </row>
    <row r="402" spans="2:8" ht="15.9" customHeight="1" x14ac:dyDescent="0.3">
      <c r="B402" s="43" t="s">
        <v>282</v>
      </c>
      <c r="C402" s="30"/>
      <c r="D402" s="30"/>
      <c r="E402" s="30"/>
      <c r="F402" s="30"/>
      <c r="G402" s="30"/>
      <c r="H402" s="30"/>
    </row>
    <row r="403" spans="2:8" ht="44.1" customHeight="1" x14ac:dyDescent="0.3">
      <c r="B403" s="27" t="s">
        <v>291</v>
      </c>
      <c r="C403" s="44" t="s">
        <v>933</v>
      </c>
      <c r="D403" s="30"/>
      <c r="E403" s="30"/>
      <c r="F403" s="30"/>
      <c r="G403" s="30"/>
      <c r="H403" s="30"/>
    </row>
    <row r="404" spans="2:8" ht="18" customHeight="1" x14ac:dyDescent="0.3">
      <c r="B404" s="27" t="s">
        <v>292</v>
      </c>
      <c r="C404" s="44" t="s">
        <v>934</v>
      </c>
      <c r="D404" s="30"/>
      <c r="E404" s="30"/>
      <c r="F404" s="30"/>
      <c r="G404" s="30"/>
      <c r="H404" s="30"/>
    </row>
    <row r="405" spans="2:8" ht="44.1" customHeight="1" x14ac:dyDescent="0.3">
      <c r="B405" s="27" t="s">
        <v>293</v>
      </c>
      <c r="C405" s="44" t="s">
        <v>935</v>
      </c>
      <c r="D405" s="30"/>
      <c r="E405" s="30"/>
      <c r="F405" s="30"/>
      <c r="G405" s="30"/>
      <c r="H405" s="30"/>
    </row>
    <row r="406" spans="2:8" ht="15.9" customHeight="1" x14ac:dyDescent="0.3">
      <c r="B406" s="43" t="s">
        <v>283</v>
      </c>
      <c r="C406" s="30"/>
      <c r="D406" s="30"/>
      <c r="E406" s="30"/>
      <c r="F406" s="30"/>
      <c r="G406" s="30"/>
      <c r="H406" s="30"/>
    </row>
    <row r="407" spans="2:8" ht="18" customHeight="1" x14ac:dyDescent="0.3">
      <c r="B407" s="27" t="s">
        <v>802</v>
      </c>
      <c r="C407" s="44" t="s">
        <v>1165</v>
      </c>
      <c r="D407" s="30"/>
      <c r="E407" s="30"/>
      <c r="F407" s="30"/>
      <c r="G407" s="30"/>
      <c r="H407" s="30"/>
    </row>
    <row r="408" spans="2:8" ht="18" customHeight="1" x14ac:dyDescent="0.3">
      <c r="B408" s="27" t="s">
        <v>803</v>
      </c>
      <c r="C408" s="44" t="s">
        <v>925</v>
      </c>
      <c r="D408" s="30"/>
      <c r="E408" s="30"/>
      <c r="F408" s="30"/>
      <c r="G408" s="30"/>
      <c r="H408" s="30"/>
    </row>
    <row r="409" spans="2:8" ht="18" customHeight="1" x14ac:dyDescent="0.3">
      <c r="B409" s="27" t="s">
        <v>294</v>
      </c>
      <c r="C409" s="44" t="s">
        <v>308</v>
      </c>
      <c r="D409" s="30"/>
      <c r="E409" s="30"/>
      <c r="F409" s="30"/>
      <c r="G409" s="30"/>
      <c r="H409" s="30"/>
    </row>
    <row r="410" spans="2:8" ht="18" customHeight="1" x14ac:dyDescent="0.3">
      <c r="B410" s="27" t="s">
        <v>295</v>
      </c>
      <c r="C410" s="44" t="s">
        <v>309</v>
      </c>
      <c r="D410" s="30"/>
      <c r="E410" s="30"/>
      <c r="F410" s="30"/>
      <c r="G410" s="30"/>
      <c r="H410" s="30"/>
    </row>
    <row r="411" spans="2:8" ht="18" customHeight="1" x14ac:dyDescent="0.3">
      <c r="B411" s="27" t="s">
        <v>296</v>
      </c>
      <c r="C411" s="44" t="s">
        <v>310</v>
      </c>
      <c r="D411" s="30"/>
      <c r="E411" s="30"/>
      <c r="F411" s="30"/>
      <c r="G411" s="30"/>
      <c r="H411" s="30"/>
    </row>
    <row r="412" spans="2:8" ht="15.9" customHeight="1" x14ac:dyDescent="0.3">
      <c r="B412" s="43" t="s">
        <v>801</v>
      </c>
      <c r="C412" s="30"/>
      <c r="D412" s="30"/>
      <c r="E412" s="30"/>
      <c r="F412" s="30"/>
      <c r="G412" s="30"/>
      <c r="H412" s="30"/>
    </row>
    <row r="413" spans="2:8" ht="18" customHeight="1" x14ac:dyDescent="0.3">
      <c r="B413" s="27" t="s">
        <v>804</v>
      </c>
      <c r="C413" s="44" t="s">
        <v>936</v>
      </c>
      <c r="D413" s="30"/>
      <c r="E413" s="30"/>
      <c r="F413" s="30"/>
      <c r="G413" s="30"/>
      <c r="H413" s="30"/>
    </row>
    <row r="414" spans="2:8" ht="18" customHeight="1" x14ac:dyDescent="0.3">
      <c r="B414" s="27" t="s">
        <v>805</v>
      </c>
      <c r="C414" s="44" t="s">
        <v>838</v>
      </c>
      <c r="D414" s="30"/>
      <c r="E414" s="30"/>
      <c r="F414" s="30"/>
      <c r="G414" s="30"/>
      <c r="H414" s="30"/>
    </row>
    <row r="415" spans="2:8" ht="18" customHeight="1" x14ac:dyDescent="0.3">
      <c r="B415" s="27" t="s">
        <v>806</v>
      </c>
      <c r="C415" s="44" t="s">
        <v>937</v>
      </c>
      <c r="D415" s="30"/>
      <c r="E415" s="30"/>
      <c r="F415" s="30"/>
      <c r="G415" s="30"/>
      <c r="H415" s="30"/>
    </row>
    <row r="416" spans="2:8" ht="30.9" customHeight="1" x14ac:dyDescent="0.3">
      <c r="B416" s="27" t="s">
        <v>807</v>
      </c>
      <c r="C416" s="44" t="s">
        <v>938</v>
      </c>
      <c r="D416" s="30"/>
      <c r="E416" s="30"/>
      <c r="F416" s="30"/>
      <c r="G416" s="30"/>
      <c r="H416" s="30"/>
    </row>
    <row r="417" spans="1:8" ht="18" customHeight="1" x14ac:dyDescent="0.3">
      <c r="B417" s="27" t="s">
        <v>808</v>
      </c>
      <c r="C417" s="44" t="s">
        <v>830</v>
      </c>
      <c r="D417" s="30"/>
      <c r="E417" s="30"/>
      <c r="F417" s="30"/>
      <c r="G417" s="30"/>
      <c r="H417" s="30"/>
    </row>
    <row r="418" spans="1:8" ht="15.9" customHeight="1" x14ac:dyDescent="0.3">
      <c r="B418" s="43" t="s">
        <v>285</v>
      </c>
      <c r="C418" s="30"/>
      <c r="D418" s="30"/>
      <c r="E418" s="30"/>
      <c r="F418" s="30"/>
      <c r="G418" s="30"/>
      <c r="H418" s="30"/>
    </row>
    <row r="419" spans="1:8" ht="18" customHeight="1" x14ac:dyDescent="0.3">
      <c r="B419" s="27" t="s">
        <v>809</v>
      </c>
      <c r="C419" s="44" t="s">
        <v>939</v>
      </c>
      <c r="D419" s="30"/>
      <c r="E419" s="30"/>
      <c r="F419" s="30"/>
      <c r="G419" s="30"/>
      <c r="H419" s="30"/>
    </row>
    <row r="420" spans="1:8" ht="18" customHeight="1" x14ac:dyDescent="0.3">
      <c r="B420" s="27" t="s">
        <v>302</v>
      </c>
      <c r="C420" s="44" t="s">
        <v>849</v>
      </c>
      <c r="D420" s="30"/>
      <c r="E420" s="30"/>
      <c r="F420" s="30"/>
      <c r="G420" s="30"/>
      <c r="H420" s="30"/>
    </row>
    <row r="421" spans="1:8" ht="18" customHeight="1" x14ac:dyDescent="0.3">
      <c r="B421" s="27" t="s">
        <v>304</v>
      </c>
      <c r="C421" s="44" t="s">
        <v>1095</v>
      </c>
      <c r="D421" s="30"/>
      <c r="E421" s="30"/>
      <c r="F421" s="30"/>
      <c r="G421" s="30"/>
      <c r="H421" s="30"/>
    </row>
    <row r="424" spans="1:8" ht="21.9" customHeight="1" x14ac:dyDescent="0.3">
      <c r="A424" s="45" t="s">
        <v>1167</v>
      </c>
      <c r="B424" s="30"/>
      <c r="C424" s="30"/>
      <c r="D424" s="30"/>
      <c r="E424" s="30"/>
      <c r="F424" s="30"/>
      <c r="G424" s="30"/>
      <c r="H424" s="30"/>
    </row>
    <row r="426" spans="1:8" ht="15.9" customHeight="1" x14ac:dyDescent="0.3">
      <c r="B426" s="43" t="s">
        <v>3</v>
      </c>
      <c r="C426" s="30"/>
      <c r="D426" s="30"/>
      <c r="E426" s="30"/>
      <c r="F426" s="30"/>
      <c r="G426" s="30"/>
      <c r="H426" s="30"/>
    </row>
    <row r="427" spans="1:8" ht="18" customHeight="1" x14ac:dyDescent="0.3">
      <c r="B427" s="27" t="s">
        <v>286</v>
      </c>
      <c r="C427" s="44" t="s">
        <v>940</v>
      </c>
      <c r="D427" s="30"/>
      <c r="E427" s="30"/>
      <c r="F427" s="30"/>
      <c r="G427" s="30"/>
      <c r="H427" s="30"/>
    </row>
    <row r="428" spans="1:8" ht="18" customHeight="1" x14ac:dyDescent="0.3">
      <c r="B428" s="27" t="s">
        <v>287</v>
      </c>
      <c r="C428" s="44" t="s">
        <v>941</v>
      </c>
      <c r="D428" s="30"/>
      <c r="E428" s="30"/>
      <c r="F428" s="30"/>
      <c r="G428" s="30"/>
      <c r="H428" s="30"/>
    </row>
    <row r="429" spans="1:8" ht="18" customHeight="1" x14ac:dyDescent="0.3">
      <c r="B429" s="27" t="s">
        <v>288</v>
      </c>
      <c r="C429" s="44" t="s">
        <v>169</v>
      </c>
      <c r="D429" s="30"/>
      <c r="E429" s="30"/>
      <c r="F429" s="30"/>
      <c r="G429" s="30"/>
      <c r="H429" s="30"/>
    </row>
    <row r="430" spans="1:8" ht="18" customHeight="1" x14ac:dyDescent="0.3">
      <c r="B430" s="27" t="s">
        <v>289</v>
      </c>
      <c r="C430" s="44" t="s">
        <v>1093</v>
      </c>
      <c r="D430" s="30"/>
      <c r="E430" s="30"/>
      <c r="F430" s="30"/>
      <c r="G430" s="30"/>
      <c r="H430" s="30"/>
    </row>
    <row r="431" spans="1:8" ht="18" customHeight="1" x14ac:dyDescent="0.3">
      <c r="B431" s="27" t="s">
        <v>290</v>
      </c>
      <c r="C431" s="44" t="s">
        <v>166</v>
      </c>
      <c r="D431" s="30"/>
      <c r="E431" s="30"/>
      <c r="F431" s="30"/>
      <c r="G431" s="30"/>
      <c r="H431" s="30"/>
    </row>
    <row r="432" spans="1:8" ht="15.9" customHeight="1" x14ac:dyDescent="0.3">
      <c r="B432" s="43" t="s">
        <v>282</v>
      </c>
      <c r="C432" s="30"/>
      <c r="D432" s="30"/>
      <c r="E432" s="30"/>
      <c r="F432" s="30"/>
      <c r="G432" s="30"/>
      <c r="H432" s="30"/>
    </row>
    <row r="433" spans="2:8" ht="44.1" customHeight="1" x14ac:dyDescent="0.3">
      <c r="B433" s="27" t="s">
        <v>291</v>
      </c>
      <c r="C433" s="44" t="s">
        <v>942</v>
      </c>
      <c r="D433" s="30"/>
      <c r="E433" s="30"/>
      <c r="F433" s="30"/>
      <c r="G433" s="30"/>
      <c r="H433" s="30"/>
    </row>
    <row r="434" spans="2:8" ht="18" customHeight="1" x14ac:dyDescent="0.3">
      <c r="B434" s="27" t="s">
        <v>292</v>
      </c>
      <c r="C434" s="44" t="s">
        <v>943</v>
      </c>
      <c r="D434" s="30"/>
      <c r="E434" s="30"/>
      <c r="F434" s="30"/>
      <c r="G434" s="30"/>
      <c r="H434" s="30"/>
    </row>
    <row r="435" spans="2:8" ht="30.9" customHeight="1" x14ac:dyDescent="0.3">
      <c r="B435" s="27" t="s">
        <v>293</v>
      </c>
      <c r="C435" s="44" t="s">
        <v>944</v>
      </c>
      <c r="D435" s="30"/>
      <c r="E435" s="30"/>
      <c r="F435" s="30"/>
      <c r="G435" s="30"/>
      <c r="H435" s="30"/>
    </row>
    <row r="436" spans="2:8" ht="15.9" customHeight="1" x14ac:dyDescent="0.3">
      <c r="B436" s="43" t="s">
        <v>283</v>
      </c>
      <c r="C436" s="30"/>
      <c r="D436" s="30"/>
      <c r="E436" s="30"/>
      <c r="F436" s="30"/>
      <c r="G436" s="30"/>
      <c r="H436" s="30"/>
    </row>
    <row r="437" spans="2:8" ht="18" customHeight="1" x14ac:dyDescent="0.3">
      <c r="B437" s="27" t="s">
        <v>802</v>
      </c>
      <c r="C437" s="44" t="s">
        <v>1168</v>
      </c>
      <c r="D437" s="30"/>
      <c r="E437" s="30"/>
      <c r="F437" s="30"/>
      <c r="G437" s="30"/>
      <c r="H437" s="30"/>
    </row>
    <row r="438" spans="2:8" ht="18" customHeight="1" x14ac:dyDescent="0.3">
      <c r="B438" s="27" t="s">
        <v>803</v>
      </c>
      <c r="C438" s="44" t="s">
        <v>945</v>
      </c>
      <c r="D438" s="30"/>
      <c r="E438" s="30"/>
      <c r="F438" s="30"/>
      <c r="G438" s="30"/>
      <c r="H438" s="30"/>
    </row>
    <row r="439" spans="2:8" ht="18" customHeight="1" x14ac:dyDescent="0.3">
      <c r="B439" s="27" t="s">
        <v>294</v>
      </c>
      <c r="C439" s="44" t="s">
        <v>347</v>
      </c>
      <c r="D439" s="30"/>
      <c r="E439" s="30"/>
      <c r="F439" s="30"/>
      <c r="G439" s="30"/>
      <c r="H439" s="30"/>
    </row>
    <row r="440" spans="2:8" ht="18" customHeight="1" x14ac:dyDescent="0.3">
      <c r="B440" s="27" t="s">
        <v>295</v>
      </c>
      <c r="C440" s="44" t="s">
        <v>348</v>
      </c>
      <c r="D440" s="30"/>
      <c r="E440" s="30"/>
      <c r="F440" s="30"/>
      <c r="G440" s="30"/>
      <c r="H440" s="30"/>
    </row>
    <row r="441" spans="2:8" ht="18" customHeight="1" x14ac:dyDescent="0.3">
      <c r="B441" s="27" t="s">
        <v>296</v>
      </c>
      <c r="C441" s="44" t="s">
        <v>310</v>
      </c>
      <c r="D441" s="30"/>
      <c r="E441" s="30"/>
      <c r="F441" s="30"/>
      <c r="G441" s="30"/>
      <c r="H441" s="30"/>
    </row>
    <row r="442" spans="2:8" ht="15.9" customHeight="1" x14ac:dyDescent="0.3">
      <c r="B442" s="43" t="s">
        <v>801</v>
      </c>
      <c r="C442" s="30"/>
      <c r="D442" s="30"/>
      <c r="E442" s="30"/>
      <c r="F442" s="30"/>
      <c r="G442" s="30"/>
      <c r="H442" s="30"/>
    </row>
    <row r="443" spans="2:8" ht="30.9" customHeight="1" x14ac:dyDescent="0.3">
      <c r="B443" s="27" t="s">
        <v>804</v>
      </c>
      <c r="C443" s="44" t="s">
        <v>946</v>
      </c>
      <c r="D443" s="30"/>
      <c r="E443" s="30"/>
      <c r="F443" s="30"/>
      <c r="G443" s="30"/>
      <c r="H443" s="30"/>
    </row>
    <row r="444" spans="2:8" ht="18" customHeight="1" x14ac:dyDescent="0.3">
      <c r="B444" s="27" t="s">
        <v>805</v>
      </c>
      <c r="C444" s="44" t="s">
        <v>838</v>
      </c>
      <c r="D444" s="30"/>
      <c r="E444" s="30"/>
      <c r="F444" s="30"/>
      <c r="G444" s="30"/>
      <c r="H444" s="30"/>
    </row>
    <row r="445" spans="2:8" ht="18" customHeight="1" x14ac:dyDescent="0.3">
      <c r="B445" s="27" t="s">
        <v>806</v>
      </c>
      <c r="C445" s="44" t="s">
        <v>947</v>
      </c>
      <c r="D445" s="30"/>
      <c r="E445" s="30"/>
      <c r="F445" s="30"/>
      <c r="G445" s="30"/>
      <c r="H445" s="30"/>
    </row>
    <row r="446" spans="2:8" ht="30.9" customHeight="1" x14ac:dyDescent="0.3">
      <c r="B446" s="27" t="s">
        <v>807</v>
      </c>
      <c r="C446" s="44" t="s">
        <v>948</v>
      </c>
      <c r="D446" s="30"/>
      <c r="E446" s="30"/>
      <c r="F446" s="30"/>
      <c r="G446" s="30"/>
      <c r="H446" s="30"/>
    </row>
    <row r="447" spans="2:8" ht="18" customHeight="1" x14ac:dyDescent="0.3">
      <c r="B447" s="27" t="s">
        <v>808</v>
      </c>
      <c r="C447" s="44" t="s">
        <v>949</v>
      </c>
      <c r="D447" s="30"/>
      <c r="E447" s="30"/>
      <c r="F447" s="30"/>
      <c r="G447" s="30"/>
      <c r="H447" s="30"/>
    </row>
    <row r="448" spans="2:8" ht="15.9" customHeight="1" x14ac:dyDescent="0.3">
      <c r="B448" s="43" t="s">
        <v>285</v>
      </c>
      <c r="C448" s="30"/>
      <c r="D448" s="30"/>
      <c r="E448" s="30"/>
      <c r="F448" s="30"/>
      <c r="G448" s="30"/>
      <c r="H448" s="30"/>
    </row>
    <row r="449" spans="1:8" ht="18" customHeight="1" x14ac:dyDescent="0.3">
      <c r="B449" s="27" t="s">
        <v>809</v>
      </c>
      <c r="C449" s="44" t="s">
        <v>950</v>
      </c>
      <c r="D449" s="30"/>
      <c r="E449" s="30"/>
      <c r="F449" s="30"/>
      <c r="G449" s="30"/>
      <c r="H449" s="30"/>
    </row>
    <row r="450" spans="1:8" ht="18" customHeight="1" x14ac:dyDescent="0.3">
      <c r="B450" s="27" t="s">
        <v>302</v>
      </c>
      <c r="C450" s="44" t="s">
        <v>313</v>
      </c>
      <c r="D450" s="30"/>
      <c r="E450" s="30"/>
      <c r="F450" s="30"/>
      <c r="G450" s="30"/>
      <c r="H450" s="30"/>
    </row>
    <row r="451" spans="1:8" ht="18" customHeight="1" x14ac:dyDescent="0.3">
      <c r="B451" s="27" t="s">
        <v>304</v>
      </c>
      <c r="C451" s="44" t="s">
        <v>1095</v>
      </c>
      <c r="D451" s="30"/>
      <c r="E451" s="30"/>
      <c r="F451" s="30"/>
      <c r="G451" s="30"/>
      <c r="H451" s="30"/>
    </row>
    <row r="454" spans="1:8" ht="21.9" customHeight="1" x14ac:dyDescent="0.3">
      <c r="A454" s="45" t="s">
        <v>1169</v>
      </c>
      <c r="B454" s="30"/>
      <c r="C454" s="30"/>
      <c r="D454" s="30"/>
      <c r="E454" s="30"/>
      <c r="F454" s="30"/>
      <c r="G454" s="30"/>
      <c r="H454" s="30"/>
    </row>
    <row r="456" spans="1:8" ht="15.9" customHeight="1" x14ac:dyDescent="0.3">
      <c r="B456" s="43" t="s">
        <v>3</v>
      </c>
      <c r="C456" s="30"/>
      <c r="D456" s="30"/>
      <c r="E456" s="30"/>
      <c r="F456" s="30"/>
      <c r="G456" s="30"/>
      <c r="H456" s="30"/>
    </row>
    <row r="457" spans="1:8" ht="18" customHeight="1" x14ac:dyDescent="0.3">
      <c r="B457" s="27" t="s">
        <v>286</v>
      </c>
      <c r="C457" s="44" t="s">
        <v>951</v>
      </c>
      <c r="D457" s="30"/>
      <c r="E457" s="30"/>
      <c r="F457" s="30"/>
      <c r="G457" s="30"/>
      <c r="H457" s="30"/>
    </row>
    <row r="458" spans="1:8" ht="18" customHeight="1" x14ac:dyDescent="0.3">
      <c r="B458" s="27" t="s">
        <v>287</v>
      </c>
      <c r="C458" s="44" t="s">
        <v>952</v>
      </c>
      <c r="D458" s="30"/>
      <c r="E458" s="30"/>
      <c r="F458" s="30"/>
      <c r="G458" s="30"/>
      <c r="H458" s="30"/>
    </row>
    <row r="459" spans="1:8" ht="18" customHeight="1" x14ac:dyDescent="0.3">
      <c r="B459" s="27" t="s">
        <v>288</v>
      </c>
      <c r="C459" s="44" t="s">
        <v>169</v>
      </c>
      <c r="D459" s="30"/>
      <c r="E459" s="30"/>
      <c r="F459" s="30"/>
      <c r="G459" s="30"/>
      <c r="H459" s="30"/>
    </row>
    <row r="460" spans="1:8" ht="18" customHeight="1" x14ac:dyDescent="0.3">
      <c r="B460" s="27" t="s">
        <v>289</v>
      </c>
      <c r="C460" s="44" t="s">
        <v>1093</v>
      </c>
      <c r="D460" s="30"/>
      <c r="E460" s="30"/>
      <c r="F460" s="30"/>
      <c r="G460" s="30"/>
      <c r="H460" s="30"/>
    </row>
    <row r="461" spans="1:8" ht="18" customHeight="1" x14ac:dyDescent="0.3">
      <c r="B461" s="27" t="s">
        <v>290</v>
      </c>
      <c r="C461" s="44" t="s">
        <v>166</v>
      </c>
      <c r="D461" s="30"/>
      <c r="E461" s="30"/>
      <c r="F461" s="30"/>
      <c r="G461" s="30"/>
      <c r="H461" s="30"/>
    </row>
    <row r="462" spans="1:8" ht="15.9" customHeight="1" x14ac:dyDescent="0.3">
      <c r="B462" s="43" t="s">
        <v>282</v>
      </c>
      <c r="C462" s="30"/>
      <c r="D462" s="30"/>
      <c r="E462" s="30"/>
      <c r="F462" s="30"/>
      <c r="G462" s="30"/>
      <c r="H462" s="30"/>
    </row>
    <row r="463" spans="1:8" ht="30.9" customHeight="1" x14ac:dyDescent="0.3">
      <c r="B463" s="27" t="s">
        <v>291</v>
      </c>
      <c r="C463" s="44" t="s">
        <v>953</v>
      </c>
      <c r="D463" s="30"/>
      <c r="E463" s="30"/>
      <c r="F463" s="30"/>
      <c r="G463" s="30"/>
      <c r="H463" s="30"/>
    </row>
    <row r="464" spans="1:8" ht="18" customHeight="1" x14ac:dyDescent="0.3">
      <c r="B464" s="27" t="s">
        <v>292</v>
      </c>
      <c r="C464" s="44" t="s">
        <v>954</v>
      </c>
      <c r="D464" s="30"/>
      <c r="E464" s="30"/>
      <c r="F464" s="30"/>
      <c r="G464" s="30"/>
      <c r="H464" s="30"/>
    </row>
    <row r="465" spans="2:8" ht="30.9" customHeight="1" x14ac:dyDescent="0.3">
      <c r="B465" s="27" t="s">
        <v>293</v>
      </c>
      <c r="C465" s="44" t="s">
        <v>955</v>
      </c>
      <c r="D465" s="30"/>
      <c r="E465" s="30"/>
      <c r="F465" s="30"/>
      <c r="G465" s="30"/>
      <c r="H465" s="30"/>
    </row>
    <row r="466" spans="2:8" ht="15.9" customHeight="1" x14ac:dyDescent="0.3">
      <c r="B466" s="43" t="s">
        <v>283</v>
      </c>
      <c r="C466" s="30"/>
      <c r="D466" s="30"/>
      <c r="E466" s="30"/>
      <c r="F466" s="30"/>
      <c r="G466" s="30"/>
      <c r="H466" s="30"/>
    </row>
    <row r="467" spans="2:8" ht="18" customHeight="1" x14ac:dyDescent="0.3">
      <c r="B467" s="27" t="s">
        <v>802</v>
      </c>
      <c r="C467" s="44" t="s">
        <v>1168</v>
      </c>
      <c r="D467" s="30"/>
      <c r="E467" s="30"/>
      <c r="F467" s="30"/>
      <c r="G467" s="30"/>
      <c r="H467" s="30"/>
    </row>
    <row r="468" spans="2:8" ht="18" customHeight="1" x14ac:dyDescent="0.3">
      <c r="B468" s="27" t="s">
        <v>803</v>
      </c>
      <c r="C468" s="44" t="s">
        <v>956</v>
      </c>
      <c r="D468" s="30"/>
      <c r="E468" s="30"/>
      <c r="F468" s="30"/>
      <c r="G468" s="30"/>
      <c r="H468" s="30"/>
    </row>
    <row r="469" spans="2:8" ht="18" customHeight="1" x14ac:dyDescent="0.3">
      <c r="B469" s="27" t="s">
        <v>294</v>
      </c>
      <c r="C469" s="44" t="s">
        <v>957</v>
      </c>
      <c r="D469" s="30"/>
      <c r="E469" s="30"/>
      <c r="F469" s="30"/>
      <c r="G469" s="30"/>
      <c r="H469" s="30"/>
    </row>
    <row r="470" spans="2:8" ht="18" customHeight="1" x14ac:dyDescent="0.3">
      <c r="B470" s="27" t="s">
        <v>295</v>
      </c>
      <c r="C470" s="44" t="s">
        <v>958</v>
      </c>
      <c r="D470" s="30"/>
      <c r="E470" s="30"/>
      <c r="F470" s="30"/>
      <c r="G470" s="30"/>
      <c r="H470" s="30"/>
    </row>
    <row r="471" spans="2:8" ht="18" customHeight="1" x14ac:dyDescent="0.3">
      <c r="B471" s="27" t="s">
        <v>296</v>
      </c>
      <c r="C471" s="44" t="s">
        <v>310</v>
      </c>
      <c r="D471" s="30"/>
      <c r="E471" s="30"/>
      <c r="F471" s="30"/>
      <c r="G471" s="30"/>
      <c r="H471" s="30"/>
    </row>
    <row r="472" spans="2:8" ht="15.9" customHeight="1" x14ac:dyDescent="0.3">
      <c r="B472" s="43" t="s">
        <v>801</v>
      </c>
      <c r="C472" s="30"/>
      <c r="D472" s="30"/>
      <c r="E472" s="30"/>
      <c r="F472" s="30"/>
      <c r="G472" s="30"/>
      <c r="H472" s="30"/>
    </row>
    <row r="473" spans="2:8" ht="30.9" customHeight="1" x14ac:dyDescent="0.3">
      <c r="B473" s="27" t="s">
        <v>804</v>
      </c>
      <c r="C473" s="44" t="s">
        <v>959</v>
      </c>
      <c r="D473" s="30"/>
      <c r="E473" s="30"/>
      <c r="F473" s="30"/>
      <c r="G473" s="30"/>
      <c r="H473" s="30"/>
    </row>
    <row r="474" spans="2:8" ht="18" customHeight="1" x14ac:dyDescent="0.3">
      <c r="B474" s="27" t="s">
        <v>805</v>
      </c>
      <c r="C474" s="44" t="s">
        <v>816</v>
      </c>
      <c r="D474" s="30"/>
      <c r="E474" s="30"/>
      <c r="F474" s="30"/>
      <c r="G474" s="30"/>
      <c r="H474" s="30"/>
    </row>
    <row r="475" spans="2:8" ht="18" customHeight="1" x14ac:dyDescent="0.3">
      <c r="B475" s="27" t="s">
        <v>806</v>
      </c>
      <c r="C475" s="44" t="s">
        <v>960</v>
      </c>
      <c r="D475" s="30"/>
      <c r="E475" s="30"/>
      <c r="F475" s="30"/>
      <c r="G475" s="30"/>
      <c r="H475" s="30"/>
    </row>
    <row r="476" spans="2:8" ht="18" customHeight="1" x14ac:dyDescent="0.3">
      <c r="B476" s="27" t="s">
        <v>807</v>
      </c>
      <c r="C476" s="44" t="s">
        <v>961</v>
      </c>
      <c r="D476" s="30"/>
      <c r="E476" s="30"/>
      <c r="F476" s="30"/>
      <c r="G476" s="30"/>
      <c r="H476" s="30"/>
    </row>
    <row r="477" spans="2:8" ht="18" customHeight="1" x14ac:dyDescent="0.3">
      <c r="B477" s="27" t="s">
        <v>808</v>
      </c>
      <c r="C477" s="44" t="s">
        <v>819</v>
      </c>
      <c r="D477" s="30"/>
      <c r="E477" s="30"/>
      <c r="F477" s="30"/>
      <c r="G477" s="30"/>
      <c r="H477" s="30"/>
    </row>
    <row r="478" spans="2:8" ht="15.9" customHeight="1" x14ac:dyDescent="0.3">
      <c r="B478" s="43" t="s">
        <v>285</v>
      </c>
      <c r="C478" s="30"/>
      <c r="D478" s="30"/>
      <c r="E478" s="30"/>
      <c r="F478" s="30"/>
      <c r="G478" s="30"/>
      <c r="H478" s="30"/>
    </row>
    <row r="479" spans="2:8" ht="18" customHeight="1" x14ac:dyDescent="0.3">
      <c r="B479" s="27" t="s">
        <v>809</v>
      </c>
      <c r="C479" s="44" t="s">
        <v>342</v>
      </c>
      <c r="D479" s="30"/>
      <c r="E479" s="30"/>
      <c r="F479" s="30"/>
      <c r="G479" s="30"/>
      <c r="H479" s="30"/>
    </row>
    <row r="480" spans="2:8" ht="18" customHeight="1" x14ac:dyDescent="0.3">
      <c r="B480" s="27" t="s">
        <v>302</v>
      </c>
      <c r="C480" s="44" t="s">
        <v>313</v>
      </c>
      <c r="D480" s="30"/>
      <c r="E480" s="30"/>
      <c r="F480" s="30"/>
      <c r="G480" s="30"/>
      <c r="H480" s="30"/>
    </row>
    <row r="481" spans="1:8" ht="18" customHeight="1" x14ac:dyDescent="0.3">
      <c r="B481" s="27" t="s">
        <v>304</v>
      </c>
      <c r="C481" s="44" t="s">
        <v>1095</v>
      </c>
      <c r="D481" s="30"/>
      <c r="E481" s="30"/>
      <c r="F481" s="30"/>
      <c r="G481" s="30"/>
      <c r="H481" s="30"/>
    </row>
    <row r="484" spans="1:8" ht="21.9" customHeight="1" x14ac:dyDescent="0.3">
      <c r="A484" s="45" t="s">
        <v>1170</v>
      </c>
      <c r="B484" s="30"/>
      <c r="C484" s="30"/>
      <c r="D484" s="30"/>
      <c r="E484" s="30"/>
      <c r="F484" s="30"/>
      <c r="G484" s="30"/>
      <c r="H484" s="30"/>
    </row>
    <row r="486" spans="1:8" ht="15.9" customHeight="1" x14ac:dyDescent="0.3">
      <c r="B486" s="43" t="s">
        <v>3</v>
      </c>
      <c r="C486" s="30"/>
      <c r="D486" s="30"/>
      <c r="E486" s="30"/>
      <c r="F486" s="30"/>
      <c r="G486" s="30"/>
      <c r="H486" s="30"/>
    </row>
    <row r="487" spans="1:8" ht="18" customHeight="1" x14ac:dyDescent="0.3">
      <c r="B487" s="27" t="s">
        <v>286</v>
      </c>
      <c r="C487" s="44" t="s">
        <v>962</v>
      </c>
      <c r="D487" s="30"/>
      <c r="E487" s="30"/>
      <c r="F487" s="30"/>
      <c r="G487" s="30"/>
      <c r="H487" s="30"/>
    </row>
    <row r="488" spans="1:8" ht="18" customHeight="1" x14ac:dyDescent="0.3">
      <c r="B488" s="27" t="s">
        <v>287</v>
      </c>
      <c r="C488" s="44" t="s">
        <v>963</v>
      </c>
      <c r="D488" s="30"/>
      <c r="E488" s="30"/>
      <c r="F488" s="30"/>
      <c r="G488" s="30"/>
      <c r="H488" s="30"/>
    </row>
    <row r="489" spans="1:8" ht="18" customHeight="1" x14ac:dyDescent="0.3">
      <c r="B489" s="27" t="s">
        <v>288</v>
      </c>
      <c r="C489" s="44" t="s">
        <v>169</v>
      </c>
      <c r="D489" s="30"/>
      <c r="E489" s="30"/>
      <c r="F489" s="30"/>
      <c r="G489" s="30"/>
      <c r="H489" s="30"/>
    </row>
    <row r="490" spans="1:8" ht="18" customHeight="1" x14ac:dyDescent="0.3">
      <c r="B490" s="27" t="s">
        <v>289</v>
      </c>
      <c r="C490" s="44" t="s">
        <v>1093</v>
      </c>
      <c r="D490" s="30"/>
      <c r="E490" s="30"/>
      <c r="F490" s="30"/>
      <c r="G490" s="30"/>
      <c r="H490" s="30"/>
    </row>
    <row r="491" spans="1:8" ht="18" customHeight="1" x14ac:dyDescent="0.3">
      <c r="B491" s="27" t="s">
        <v>290</v>
      </c>
      <c r="C491" s="44" t="s">
        <v>166</v>
      </c>
      <c r="D491" s="30"/>
      <c r="E491" s="30"/>
      <c r="F491" s="30"/>
      <c r="G491" s="30"/>
      <c r="H491" s="30"/>
    </row>
    <row r="492" spans="1:8" ht="15.9" customHeight="1" x14ac:dyDescent="0.3">
      <c r="B492" s="43" t="s">
        <v>282</v>
      </c>
      <c r="C492" s="30"/>
      <c r="D492" s="30"/>
      <c r="E492" s="30"/>
      <c r="F492" s="30"/>
      <c r="G492" s="30"/>
      <c r="H492" s="30"/>
    </row>
    <row r="493" spans="1:8" ht="30.9" customHeight="1" x14ac:dyDescent="0.3">
      <c r="B493" s="27" t="s">
        <v>291</v>
      </c>
      <c r="C493" s="44" t="s">
        <v>964</v>
      </c>
      <c r="D493" s="30"/>
      <c r="E493" s="30"/>
      <c r="F493" s="30"/>
      <c r="G493" s="30"/>
      <c r="H493" s="30"/>
    </row>
    <row r="494" spans="1:8" ht="18" customHeight="1" x14ac:dyDescent="0.3">
      <c r="B494" s="27" t="s">
        <v>292</v>
      </c>
      <c r="C494" s="44" t="s">
        <v>489</v>
      </c>
      <c r="D494" s="30"/>
      <c r="E494" s="30"/>
      <c r="F494" s="30"/>
      <c r="G494" s="30"/>
      <c r="H494" s="30"/>
    </row>
    <row r="495" spans="1:8" ht="30.9" customHeight="1" x14ac:dyDescent="0.3">
      <c r="B495" s="27" t="s">
        <v>293</v>
      </c>
      <c r="C495" s="44" t="s">
        <v>965</v>
      </c>
      <c r="D495" s="30"/>
      <c r="E495" s="30"/>
      <c r="F495" s="30"/>
      <c r="G495" s="30"/>
      <c r="H495" s="30"/>
    </row>
    <row r="496" spans="1:8" ht="15.9" customHeight="1" x14ac:dyDescent="0.3">
      <c r="B496" s="43" t="s">
        <v>283</v>
      </c>
      <c r="C496" s="30"/>
      <c r="D496" s="30"/>
      <c r="E496" s="30"/>
      <c r="F496" s="30"/>
      <c r="G496" s="30"/>
      <c r="H496" s="30"/>
    </row>
    <row r="497" spans="2:8" ht="18" customHeight="1" x14ac:dyDescent="0.3">
      <c r="B497" s="27" t="s">
        <v>802</v>
      </c>
      <c r="C497" s="44" t="s">
        <v>1168</v>
      </c>
      <c r="D497" s="30"/>
      <c r="E497" s="30"/>
      <c r="F497" s="30"/>
      <c r="G497" s="30"/>
      <c r="H497" s="30"/>
    </row>
    <row r="498" spans="2:8" ht="18" customHeight="1" x14ac:dyDescent="0.3">
      <c r="B498" s="27" t="s">
        <v>803</v>
      </c>
      <c r="C498" s="44" t="s">
        <v>945</v>
      </c>
      <c r="D498" s="30"/>
      <c r="E498" s="30"/>
      <c r="F498" s="30"/>
      <c r="G498" s="30"/>
      <c r="H498" s="30"/>
    </row>
    <row r="499" spans="2:8" ht="18" customHeight="1" x14ac:dyDescent="0.3">
      <c r="B499" s="27" t="s">
        <v>294</v>
      </c>
      <c r="C499" s="44" t="s">
        <v>347</v>
      </c>
      <c r="D499" s="30"/>
      <c r="E499" s="30"/>
      <c r="F499" s="30"/>
      <c r="G499" s="30"/>
      <c r="H499" s="30"/>
    </row>
    <row r="500" spans="2:8" ht="18" customHeight="1" x14ac:dyDescent="0.3">
      <c r="B500" s="27" t="s">
        <v>295</v>
      </c>
      <c r="C500" s="44" t="s">
        <v>348</v>
      </c>
      <c r="D500" s="30"/>
      <c r="E500" s="30"/>
      <c r="F500" s="30"/>
      <c r="G500" s="30"/>
      <c r="H500" s="30"/>
    </row>
    <row r="501" spans="2:8" ht="18" customHeight="1" x14ac:dyDescent="0.3">
      <c r="B501" s="27" t="s">
        <v>296</v>
      </c>
      <c r="C501" s="44" t="s">
        <v>310</v>
      </c>
      <c r="D501" s="30"/>
      <c r="E501" s="30"/>
      <c r="F501" s="30"/>
      <c r="G501" s="30"/>
      <c r="H501" s="30"/>
    </row>
    <row r="502" spans="2:8" ht="15.9" customHeight="1" x14ac:dyDescent="0.3">
      <c r="B502" s="43" t="s">
        <v>801</v>
      </c>
      <c r="C502" s="30"/>
      <c r="D502" s="30"/>
      <c r="E502" s="30"/>
      <c r="F502" s="30"/>
      <c r="G502" s="30"/>
      <c r="H502" s="30"/>
    </row>
    <row r="503" spans="2:8" ht="18" customHeight="1" x14ac:dyDescent="0.3">
      <c r="B503" s="27" t="s">
        <v>804</v>
      </c>
      <c r="C503" s="44" t="s">
        <v>966</v>
      </c>
      <c r="D503" s="30"/>
      <c r="E503" s="30"/>
      <c r="F503" s="30"/>
      <c r="G503" s="30"/>
      <c r="H503" s="30"/>
    </row>
    <row r="504" spans="2:8" ht="18" customHeight="1" x14ac:dyDescent="0.3">
      <c r="B504" s="27" t="s">
        <v>805</v>
      </c>
      <c r="C504" s="44" t="s">
        <v>838</v>
      </c>
      <c r="D504" s="30"/>
      <c r="E504" s="30"/>
      <c r="F504" s="30"/>
      <c r="G504" s="30"/>
      <c r="H504" s="30"/>
    </row>
    <row r="505" spans="2:8" ht="18" customHeight="1" x14ac:dyDescent="0.3">
      <c r="B505" s="27" t="s">
        <v>806</v>
      </c>
      <c r="C505" s="44" t="s">
        <v>967</v>
      </c>
      <c r="D505" s="30"/>
      <c r="E505" s="30"/>
      <c r="F505" s="30"/>
      <c r="G505" s="30"/>
      <c r="H505" s="30"/>
    </row>
    <row r="506" spans="2:8" ht="18" customHeight="1" x14ac:dyDescent="0.3">
      <c r="B506" s="27" t="s">
        <v>807</v>
      </c>
      <c r="C506" s="44" t="s">
        <v>968</v>
      </c>
      <c r="D506" s="30"/>
      <c r="E506" s="30"/>
      <c r="F506" s="30"/>
      <c r="G506" s="30"/>
      <c r="H506" s="30"/>
    </row>
    <row r="507" spans="2:8" ht="18" customHeight="1" x14ac:dyDescent="0.3">
      <c r="B507" s="27" t="s">
        <v>808</v>
      </c>
      <c r="C507" s="44" t="s">
        <v>830</v>
      </c>
      <c r="D507" s="30"/>
      <c r="E507" s="30"/>
      <c r="F507" s="30"/>
      <c r="G507" s="30"/>
      <c r="H507" s="30"/>
    </row>
    <row r="508" spans="2:8" ht="15.9" customHeight="1" x14ac:dyDescent="0.3">
      <c r="B508" s="43" t="s">
        <v>285</v>
      </c>
      <c r="C508" s="30"/>
      <c r="D508" s="30"/>
      <c r="E508" s="30"/>
      <c r="F508" s="30"/>
      <c r="G508" s="30"/>
      <c r="H508" s="30"/>
    </row>
    <row r="509" spans="2:8" ht="18" customHeight="1" x14ac:dyDescent="0.3">
      <c r="B509" s="27" t="s">
        <v>809</v>
      </c>
      <c r="C509" s="44" t="s">
        <v>969</v>
      </c>
      <c r="D509" s="30"/>
      <c r="E509" s="30"/>
      <c r="F509" s="30"/>
      <c r="G509" s="30"/>
      <c r="H509" s="30"/>
    </row>
    <row r="510" spans="2:8" ht="18" customHeight="1" x14ac:dyDescent="0.3">
      <c r="B510" s="27" t="s">
        <v>302</v>
      </c>
      <c r="C510" s="44" t="s">
        <v>313</v>
      </c>
      <c r="D510" s="30"/>
      <c r="E510" s="30"/>
      <c r="F510" s="30"/>
      <c r="G510" s="30"/>
      <c r="H510" s="30"/>
    </row>
    <row r="511" spans="2:8" ht="18" customHeight="1" x14ac:dyDescent="0.3">
      <c r="B511" s="27" t="s">
        <v>304</v>
      </c>
      <c r="C511" s="44" t="s">
        <v>1095</v>
      </c>
      <c r="D511" s="30"/>
      <c r="E511" s="30"/>
      <c r="F511" s="30"/>
      <c r="G511" s="30"/>
      <c r="H511" s="30"/>
    </row>
    <row r="514" spans="1:8" ht="21.9" customHeight="1" x14ac:dyDescent="0.3">
      <c r="A514" s="45" t="s">
        <v>1171</v>
      </c>
      <c r="B514" s="30"/>
      <c r="C514" s="30"/>
      <c r="D514" s="30"/>
      <c r="E514" s="30"/>
      <c r="F514" s="30"/>
      <c r="G514" s="30"/>
      <c r="H514" s="30"/>
    </row>
    <row r="516" spans="1:8" ht="15.9" customHeight="1" x14ac:dyDescent="0.3">
      <c r="B516" s="43" t="s">
        <v>3</v>
      </c>
      <c r="C516" s="30"/>
      <c r="D516" s="30"/>
      <c r="E516" s="30"/>
      <c r="F516" s="30"/>
      <c r="G516" s="30"/>
      <c r="H516" s="30"/>
    </row>
    <row r="517" spans="1:8" ht="18" customHeight="1" x14ac:dyDescent="0.3">
      <c r="B517" s="27" t="s">
        <v>286</v>
      </c>
      <c r="C517" s="44" t="s">
        <v>970</v>
      </c>
      <c r="D517" s="30"/>
      <c r="E517" s="30"/>
      <c r="F517" s="30"/>
      <c r="G517" s="30"/>
      <c r="H517" s="30"/>
    </row>
    <row r="518" spans="1:8" ht="18" customHeight="1" x14ac:dyDescent="0.3">
      <c r="B518" s="27" t="s">
        <v>287</v>
      </c>
      <c r="C518" s="44" t="s">
        <v>971</v>
      </c>
      <c r="D518" s="30"/>
      <c r="E518" s="30"/>
      <c r="F518" s="30"/>
      <c r="G518" s="30"/>
      <c r="H518" s="30"/>
    </row>
    <row r="519" spans="1:8" ht="18" customHeight="1" x14ac:dyDescent="0.3">
      <c r="B519" s="27" t="s">
        <v>288</v>
      </c>
      <c r="C519" s="44" t="s">
        <v>169</v>
      </c>
      <c r="D519" s="30"/>
      <c r="E519" s="30"/>
      <c r="F519" s="30"/>
      <c r="G519" s="30"/>
      <c r="H519" s="30"/>
    </row>
    <row r="520" spans="1:8" ht="18" customHeight="1" x14ac:dyDescent="0.3">
      <c r="B520" s="27" t="s">
        <v>289</v>
      </c>
      <c r="C520" s="44" t="s">
        <v>1093</v>
      </c>
      <c r="D520" s="30"/>
      <c r="E520" s="30"/>
      <c r="F520" s="30"/>
      <c r="G520" s="30"/>
      <c r="H520" s="30"/>
    </row>
    <row r="521" spans="1:8" ht="18" customHeight="1" x14ac:dyDescent="0.3">
      <c r="B521" s="27" t="s">
        <v>290</v>
      </c>
      <c r="C521" s="44" t="s">
        <v>166</v>
      </c>
      <c r="D521" s="30"/>
      <c r="E521" s="30"/>
      <c r="F521" s="30"/>
      <c r="G521" s="30"/>
      <c r="H521" s="30"/>
    </row>
    <row r="522" spans="1:8" ht="15.9" customHeight="1" x14ac:dyDescent="0.3">
      <c r="B522" s="43" t="s">
        <v>282</v>
      </c>
      <c r="C522" s="30"/>
      <c r="D522" s="30"/>
      <c r="E522" s="30"/>
      <c r="F522" s="30"/>
      <c r="G522" s="30"/>
      <c r="H522" s="30"/>
    </row>
    <row r="523" spans="1:8" ht="30.9" customHeight="1" x14ac:dyDescent="0.3">
      <c r="B523" s="27" t="s">
        <v>291</v>
      </c>
      <c r="C523" s="44" t="s">
        <v>972</v>
      </c>
      <c r="D523" s="30"/>
      <c r="E523" s="30"/>
      <c r="F523" s="30"/>
      <c r="G523" s="30"/>
      <c r="H523" s="30"/>
    </row>
    <row r="524" spans="1:8" ht="18" customHeight="1" x14ac:dyDescent="0.3">
      <c r="B524" s="27" t="s">
        <v>292</v>
      </c>
      <c r="C524" s="44" t="s">
        <v>943</v>
      </c>
      <c r="D524" s="30"/>
      <c r="E524" s="30"/>
      <c r="F524" s="30"/>
      <c r="G524" s="30"/>
      <c r="H524" s="30"/>
    </row>
    <row r="525" spans="1:8" ht="18" customHeight="1" x14ac:dyDescent="0.3">
      <c r="B525" s="27" t="s">
        <v>293</v>
      </c>
      <c r="C525" s="44" t="s">
        <v>973</v>
      </c>
      <c r="D525" s="30"/>
      <c r="E525" s="30"/>
      <c r="F525" s="30"/>
      <c r="G525" s="30"/>
      <c r="H525" s="30"/>
    </row>
    <row r="526" spans="1:8" ht="15.9" customHeight="1" x14ac:dyDescent="0.3">
      <c r="B526" s="43" t="s">
        <v>283</v>
      </c>
      <c r="C526" s="30"/>
      <c r="D526" s="30"/>
      <c r="E526" s="30"/>
      <c r="F526" s="30"/>
      <c r="G526" s="30"/>
      <c r="H526" s="30"/>
    </row>
    <row r="527" spans="1:8" ht="18" customHeight="1" x14ac:dyDescent="0.3">
      <c r="B527" s="27" t="s">
        <v>802</v>
      </c>
      <c r="C527" s="44" t="s">
        <v>1168</v>
      </c>
      <c r="D527" s="30"/>
      <c r="E527" s="30"/>
      <c r="F527" s="30"/>
      <c r="G527" s="30"/>
      <c r="H527" s="30"/>
    </row>
    <row r="528" spans="1:8" ht="18" customHeight="1" x14ac:dyDescent="0.3">
      <c r="B528" s="27" t="s">
        <v>803</v>
      </c>
      <c r="C528" s="44" t="s">
        <v>974</v>
      </c>
      <c r="D528" s="30"/>
      <c r="E528" s="30"/>
      <c r="F528" s="30"/>
      <c r="G528" s="30"/>
      <c r="H528" s="30"/>
    </row>
    <row r="529" spans="1:8" ht="18" customHeight="1" x14ac:dyDescent="0.3">
      <c r="B529" s="27" t="s">
        <v>294</v>
      </c>
      <c r="C529" s="44" t="s">
        <v>957</v>
      </c>
      <c r="D529" s="30"/>
      <c r="E529" s="30"/>
      <c r="F529" s="30"/>
      <c r="G529" s="30"/>
      <c r="H529" s="30"/>
    </row>
    <row r="530" spans="1:8" ht="18" customHeight="1" x14ac:dyDescent="0.3">
      <c r="B530" s="27" t="s">
        <v>295</v>
      </c>
      <c r="C530" s="44" t="s">
        <v>958</v>
      </c>
      <c r="D530" s="30"/>
      <c r="E530" s="30"/>
      <c r="F530" s="30"/>
      <c r="G530" s="30"/>
      <c r="H530" s="30"/>
    </row>
    <row r="531" spans="1:8" ht="18" customHeight="1" x14ac:dyDescent="0.3">
      <c r="B531" s="27" t="s">
        <v>296</v>
      </c>
      <c r="C531" s="44" t="s">
        <v>310</v>
      </c>
      <c r="D531" s="30"/>
      <c r="E531" s="30"/>
      <c r="F531" s="30"/>
      <c r="G531" s="30"/>
      <c r="H531" s="30"/>
    </row>
    <row r="532" spans="1:8" ht="15.9" customHeight="1" x14ac:dyDescent="0.3">
      <c r="B532" s="43" t="s">
        <v>801</v>
      </c>
      <c r="C532" s="30"/>
      <c r="D532" s="30"/>
      <c r="E532" s="30"/>
      <c r="F532" s="30"/>
      <c r="G532" s="30"/>
      <c r="H532" s="30"/>
    </row>
    <row r="533" spans="1:8" ht="18" customHeight="1" x14ac:dyDescent="0.3">
      <c r="B533" s="27" t="s">
        <v>804</v>
      </c>
      <c r="C533" s="44" t="s">
        <v>975</v>
      </c>
      <c r="D533" s="30"/>
      <c r="E533" s="30"/>
      <c r="F533" s="30"/>
      <c r="G533" s="30"/>
      <c r="H533" s="30"/>
    </row>
    <row r="534" spans="1:8" ht="18" customHeight="1" x14ac:dyDescent="0.3">
      <c r="B534" s="27" t="s">
        <v>805</v>
      </c>
      <c r="C534" s="44" t="s">
        <v>838</v>
      </c>
      <c r="D534" s="30"/>
      <c r="E534" s="30"/>
      <c r="F534" s="30"/>
      <c r="G534" s="30"/>
      <c r="H534" s="30"/>
    </row>
    <row r="535" spans="1:8" ht="18" customHeight="1" x14ac:dyDescent="0.3">
      <c r="B535" s="27" t="s">
        <v>806</v>
      </c>
      <c r="C535" s="44" t="s">
        <v>976</v>
      </c>
      <c r="D535" s="30"/>
      <c r="E535" s="30"/>
      <c r="F535" s="30"/>
      <c r="G535" s="30"/>
      <c r="H535" s="30"/>
    </row>
    <row r="536" spans="1:8" ht="30.9" customHeight="1" x14ac:dyDescent="0.3">
      <c r="B536" s="27" t="s">
        <v>807</v>
      </c>
      <c r="C536" s="44" t="s">
        <v>977</v>
      </c>
      <c r="D536" s="30"/>
      <c r="E536" s="30"/>
      <c r="F536" s="30"/>
      <c r="G536" s="30"/>
      <c r="H536" s="30"/>
    </row>
    <row r="537" spans="1:8" ht="18" customHeight="1" x14ac:dyDescent="0.3">
      <c r="B537" s="27" t="s">
        <v>808</v>
      </c>
      <c r="C537" s="44" t="s">
        <v>819</v>
      </c>
      <c r="D537" s="30"/>
      <c r="E537" s="30"/>
      <c r="F537" s="30"/>
      <c r="G537" s="30"/>
      <c r="H537" s="30"/>
    </row>
    <row r="538" spans="1:8" ht="15.9" customHeight="1" x14ac:dyDescent="0.3">
      <c r="B538" s="43" t="s">
        <v>285</v>
      </c>
      <c r="C538" s="30"/>
      <c r="D538" s="30"/>
      <c r="E538" s="30"/>
      <c r="F538" s="30"/>
      <c r="G538" s="30"/>
      <c r="H538" s="30"/>
    </row>
    <row r="539" spans="1:8" ht="18" customHeight="1" x14ac:dyDescent="0.3">
      <c r="B539" s="27" t="s">
        <v>809</v>
      </c>
      <c r="C539" s="44" t="s">
        <v>978</v>
      </c>
      <c r="D539" s="30"/>
      <c r="E539" s="30"/>
      <c r="F539" s="30"/>
      <c r="G539" s="30"/>
      <c r="H539" s="30"/>
    </row>
    <row r="540" spans="1:8" ht="18" customHeight="1" x14ac:dyDescent="0.3">
      <c r="B540" s="27" t="s">
        <v>302</v>
      </c>
      <c r="C540" s="44" t="s">
        <v>962</v>
      </c>
      <c r="D540" s="30"/>
      <c r="E540" s="30"/>
      <c r="F540" s="30"/>
      <c r="G540" s="30"/>
      <c r="H540" s="30"/>
    </row>
    <row r="541" spans="1:8" ht="18" customHeight="1" x14ac:dyDescent="0.3">
      <c r="B541" s="27" t="s">
        <v>304</v>
      </c>
      <c r="C541" s="44" t="s">
        <v>1095</v>
      </c>
      <c r="D541" s="30"/>
      <c r="E541" s="30"/>
      <c r="F541" s="30"/>
      <c r="G541" s="30"/>
      <c r="H541" s="30"/>
    </row>
    <row r="544" spans="1:8" ht="21.9" customHeight="1" x14ac:dyDescent="0.3">
      <c r="A544" s="45" t="s">
        <v>1172</v>
      </c>
      <c r="B544" s="30"/>
      <c r="C544" s="30"/>
      <c r="D544" s="30"/>
      <c r="E544" s="30"/>
      <c r="F544" s="30"/>
      <c r="G544" s="30"/>
      <c r="H544" s="30"/>
    </row>
    <row r="546" spans="2:8" ht="15.9" customHeight="1" x14ac:dyDescent="0.3">
      <c r="B546" s="43" t="s">
        <v>3</v>
      </c>
      <c r="C546" s="30"/>
      <c r="D546" s="30"/>
      <c r="E546" s="30"/>
      <c r="F546" s="30"/>
      <c r="G546" s="30"/>
      <c r="H546" s="30"/>
    </row>
    <row r="547" spans="2:8" ht="18" customHeight="1" x14ac:dyDescent="0.3">
      <c r="B547" s="27" t="s">
        <v>286</v>
      </c>
      <c r="C547" s="44" t="s">
        <v>979</v>
      </c>
      <c r="D547" s="30"/>
      <c r="E547" s="30"/>
      <c r="F547" s="30"/>
      <c r="G547" s="30"/>
      <c r="H547" s="30"/>
    </row>
    <row r="548" spans="2:8" ht="18" customHeight="1" x14ac:dyDescent="0.3">
      <c r="B548" s="27" t="s">
        <v>287</v>
      </c>
      <c r="C548" s="44" t="s">
        <v>980</v>
      </c>
      <c r="D548" s="30"/>
      <c r="E548" s="30"/>
      <c r="F548" s="30"/>
      <c r="G548" s="30"/>
      <c r="H548" s="30"/>
    </row>
    <row r="549" spans="2:8" ht="18" customHeight="1" x14ac:dyDescent="0.3">
      <c r="B549" s="27" t="s">
        <v>288</v>
      </c>
      <c r="C549" s="44" t="s">
        <v>169</v>
      </c>
      <c r="D549" s="30"/>
      <c r="E549" s="30"/>
      <c r="F549" s="30"/>
      <c r="G549" s="30"/>
      <c r="H549" s="30"/>
    </row>
    <row r="550" spans="2:8" ht="18" customHeight="1" x14ac:dyDescent="0.3">
      <c r="B550" s="27" t="s">
        <v>289</v>
      </c>
      <c r="C550" s="44" t="s">
        <v>1093</v>
      </c>
      <c r="D550" s="30"/>
      <c r="E550" s="30"/>
      <c r="F550" s="30"/>
      <c r="G550" s="30"/>
      <c r="H550" s="30"/>
    </row>
    <row r="551" spans="2:8" ht="18" customHeight="1" x14ac:dyDescent="0.3">
      <c r="B551" s="27" t="s">
        <v>290</v>
      </c>
      <c r="C551" s="44" t="s">
        <v>166</v>
      </c>
      <c r="D551" s="30"/>
      <c r="E551" s="30"/>
      <c r="F551" s="30"/>
      <c r="G551" s="30"/>
      <c r="H551" s="30"/>
    </row>
    <row r="552" spans="2:8" ht="15.9" customHeight="1" x14ac:dyDescent="0.3">
      <c r="B552" s="43" t="s">
        <v>282</v>
      </c>
      <c r="C552" s="30"/>
      <c r="D552" s="30"/>
      <c r="E552" s="30"/>
      <c r="F552" s="30"/>
      <c r="G552" s="30"/>
      <c r="H552" s="30"/>
    </row>
    <row r="553" spans="2:8" ht="30.9" customHeight="1" x14ac:dyDescent="0.3">
      <c r="B553" s="27" t="s">
        <v>291</v>
      </c>
      <c r="C553" s="44" t="s">
        <v>981</v>
      </c>
      <c r="D553" s="30"/>
      <c r="E553" s="30"/>
      <c r="F553" s="30"/>
      <c r="G553" s="30"/>
      <c r="H553" s="30"/>
    </row>
    <row r="554" spans="2:8" ht="18" customHeight="1" x14ac:dyDescent="0.3">
      <c r="B554" s="27" t="s">
        <v>292</v>
      </c>
      <c r="C554" s="44" t="s">
        <v>982</v>
      </c>
      <c r="D554" s="30"/>
      <c r="E554" s="30"/>
      <c r="F554" s="30"/>
      <c r="G554" s="30"/>
      <c r="H554" s="30"/>
    </row>
    <row r="555" spans="2:8" ht="30.9" customHeight="1" x14ac:dyDescent="0.3">
      <c r="B555" s="27" t="s">
        <v>293</v>
      </c>
      <c r="C555" s="44" t="s">
        <v>983</v>
      </c>
      <c r="D555" s="30"/>
      <c r="E555" s="30"/>
      <c r="F555" s="30"/>
      <c r="G555" s="30"/>
      <c r="H555" s="30"/>
    </row>
    <row r="556" spans="2:8" ht="15.9" customHeight="1" x14ac:dyDescent="0.3">
      <c r="B556" s="43" t="s">
        <v>283</v>
      </c>
      <c r="C556" s="30"/>
      <c r="D556" s="30"/>
      <c r="E556" s="30"/>
      <c r="F556" s="30"/>
      <c r="G556" s="30"/>
      <c r="H556" s="30"/>
    </row>
    <row r="557" spans="2:8" ht="18" customHeight="1" x14ac:dyDescent="0.3">
      <c r="B557" s="27" t="s">
        <v>802</v>
      </c>
      <c r="C557" s="44" t="s">
        <v>1173</v>
      </c>
      <c r="D557" s="30"/>
      <c r="E557" s="30"/>
      <c r="F557" s="30"/>
      <c r="G557" s="30"/>
      <c r="H557" s="30"/>
    </row>
    <row r="558" spans="2:8" ht="18" customHeight="1" x14ac:dyDescent="0.3">
      <c r="B558" s="27" t="s">
        <v>803</v>
      </c>
      <c r="C558" s="44" t="s">
        <v>984</v>
      </c>
      <c r="D558" s="30"/>
      <c r="E558" s="30"/>
      <c r="F558" s="30"/>
      <c r="G558" s="30"/>
      <c r="H558" s="30"/>
    </row>
    <row r="559" spans="2:8" ht="18" customHeight="1" x14ac:dyDescent="0.3">
      <c r="B559" s="27" t="s">
        <v>294</v>
      </c>
      <c r="C559" s="44" t="s">
        <v>308</v>
      </c>
      <c r="D559" s="30"/>
      <c r="E559" s="30"/>
      <c r="F559" s="30"/>
      <c r="G559" s="30"/>
      <c r="H559" s="30"/>
    </row>
    <row r="560" spans="2:8" ht="18" customHeight="1" x14ac:dyDescent="0.3">
      <c r="B560" s="27" t="s">
        <v>295</v>
      </c>
      <c r="C560" s="44" t="s">
        <v>309</v>
      </c>
      <c r="D560" s="30"/>
      <c r="E560" s="30"/>
      <c r="F560" s="30"/>
      <c r="G560" s="30"/>
      <c r="H560" s="30"/>
    </row>
    <row r="561" spans="1:8" ht="18" customHeight="1" x14ac:dyDescent="0.3">
      <c r="B561" s="27" t="s">
        <v>296</v>
      </c>
      <c r="C561" s="44" t="s">
        <v>310</v>
      </c>
      <c r="D561" s="30"/>
      <c r="E561" s="30"/>
      <c r="F561" s="30"/>
      <c r="G561" s="30"/>
      <c r="H561" s="30"/>
    </row>
    <row r="562" spans="1:8" ht="15.9" customHeight="1" x14ac:dyDescent="0.3">
      <c r="B562" s="43" t="s">
        <v>801</v>
      </c>
      <c r="C562" s="30"/>
      <c r="D562" s="30"/>
      <c r="E562" s="30"/>
      <c r="F562" s="30"/>
      <c r="G562" s="30"/>
      <c r="H562" s="30"/>
    </row>
    <row r="563" spans="1:8" ht="30.9" customHeight="1" x14ac:dyDescent="0.3">
      <c r="B563" s="27" t="s">
        <v>804</v>
      </c>
      <c r="C563" s="44" t="s">
        <v>985</v>
      </c>
      <c r="D563" s="30"/>
      <c r="E563" s="30"/>
      <c r="F563" s="30"/>
      <c r="G563" s="30"/>
      <c r="H563" s="30"/>
    </row>
    <row r="564" spans="1:8" ht="18" customHeight="1" x14ac:dyDescent="0.3">
      <c r="B564" s="27" t="s">
        <v>805</v>
      </c>
      <c r="C564" s="44" t="s">
        <v>816</v>
      </c>
      <c r="D564" s="30"/>
      <c r="E564" s="30"/>
      <c r="F564" s="30"/>
      <c r="G564" s="30"/>
      <c r="H564" s="30"/>
    </row>
    <row r="565" spans="1:8" ht="18" customHeight="1" x14ac:dyDescent="0.3">
      <c r="B565" s="27" t="s">
        <v>806</v>
      </c>
      <c r="C565" s="44" t="s">
        <v>986</v>
      </c>
      <c r="D565" s="30"/>
      <c r="E565" s="30"/>
      <c r="F565" s="30"/>
      <c r="G565" s="30"/>
      <c r="H565" s="30"/>
    </row>
    <row r="566" spans="1:8" ht="18" customHeight="1" x14ac:dyDescent="0.3">
      <c r="B566" s="27" t="s">
        <v>807</v>
      </c>
      <c r="C566" s="44" t="s">
        <v>987</v>
      </c>
      <c r="D566" s="30"/>
      <c r="E566" s="30"/>
      <c r="F566" s="30"/>
      <c r="G566" s="30"/>
      <c r="H566" s="30"/>
    </row>
    <row r="567" spans="1:8" ht="18" customHeight="1" x14ac:dyDescent="0.3">
      <c r="B567" s="27" t="s">
        <v>808</v>
      </c>
      <c r="C567" s="44" t="s">
        <v>819</v>
      </c>
      <c r="D567" s="30"/>
      <c r="E567" s="30"/>
      <c r="F567" s="30"/>
      <c r="G567" s="30"/>
      <c r="H567" s="30"/>
    </row>
    <row r="568" spans="1:8" ht="15.9" customHeight="1" x14ac:dyDescent="0.3">
      <c r="B568" s="43" t="s">
        <v>285</v>
      </c>
      <c r="C568" s="30"/>
      <c r="D568" s="30"/>
      <c r="E568" s="30"/>
      <c r="F568" s="30"/>
      <c r="G568" s="30"/>
      <c r="H568" s="30"/>
    </row>
    <row r="569" spans="1:8" ht="18" customHeight="1" x14ac:dyDescent="0.3">
      <c r="B569" s="27" t="s">
        <v>809</v>
      </c>
      <c r="C569" s="44" t="s">
        <v>919</v>
      </c>
      <c r="D569" s="30"/>
      <c r="E569" s="30"/>
      <c r="F569" s="30"/>
      <c r="G569" s="30"/>
      <c r="H569" s="30"/>
    </row>
    <row r="570" spans="1:8" ht="18" customHeight="1" x14ac:dyDescent="0.3">
      <c r="B570" s="27" t="s">
        <v>302</v>
      </c>
      <c r="C570" s="44" t="s">
        <v>313</v>
      </c>
      <c r="D570" s="30"/>
      <c r="E570" s="30"/>
      <c r="F570" s="30"/>
      <c r="G570" s="30"/>
      <c r="H570" s="30"/>
    </row>
    <row r="571" spans="1:8" ht="18" customHeight="1" x14ac:dyDescent="0.3">
      <c r="B571" s="27" t="s">
        <v>304</v>
      </c>
      <c r="C571" s="44" t="s">
        <v>1095</v>
      </c>
      <c r="D571" s="30"/>
      <c r="E571" s="30"/>
      <c r="F571" s="30"/>
      <c r="G571" s="30"/>
      <c r="H571" s="30"/>
    </row>
    <row r="574" spans="1:8" ht="21.9" customHeight="1" x14ac:dyDescent="0.3">
      <c r="A574" s="45" t="s">
        <v>1174</v>
      </c>
      <c r="B574" s="30"/>
      <c r="C574" s="30"/>
      <c r="D574" s="30"/>
      <c r="E574" s="30"/>
      <c r="F574" s="30"/>
      <c r="G574" s="30"/>
      <c r="H574" s="30"/>
    </row>
    <row r="576" spans="1:8" ht="15.9" customHeight="1" x14ac:dyDescent="0.3">
      <c r="B576" s="43" t="s">
        <v>3</v>
      </c>
      <c r="C576" s="30"/>
      <c r="D576" s="30"/>
      <c r="E576" s="30"/>
      <c r="F576" s="30"/>
      <c r="G576" s="30"/>
      <c r="H576" s="30"/>
    </row>
    <row r="577" spans="2:8" ht="18" customHeight="1" x14ac:dyDescent="0.3">
      <c r="B577" s="27" t="s">
        <v>286</v>
      </c>
      <c r="C577" s="44" t="s">
        <v>988</v>
      </c>
      <c r="D577" s="30"/>
      <c r="E577" s="30"/>
      <c r="F577" s="30"/>
      <c r="G577" s="30"/>
      <c r="H577" s="30"/>
    </row>
    <row r="578" spans="2:8" ht="18" customHeight="1" x14ac:dyDescent="0.3">
      <c r="B578" s="27" t="s">
        <v>287</v>
      </c>
      <c r="C578" s="44" t="s">
        <v>989</v>
      </c>
      <c r="D578" s="30"/>
      <c r="E578" s="30"/>
      <c r="F578" s="30"/>
      <c r="G578" s="30"/>
      <c r="H578" s="30"/>
    </row>
    <row r="579" spans="2:8" ht="18" customHeight="1" x14ac:dyDescent="0.3">
      <c r="B579" s="27" t="s">
        <v>288</v>
      </c>
      <c r="C579" s="44" t="s">
        <v>169</v>
      </c>
      <c r="D579" s="30"/>
      <c r="E579" s="30"/>
      <c r="F579" s="30"/>
      <c r="G579" s="30"/>
      <c r="H579" s="30"/>
    </row>
    <row r="580" spans="2:8" ht="18" customHeight="1" x14ac:dyDescent="0.3">
      <c r="B580" s="27" t="s">
        <v>289</v>
      </c>
      <c r="C580" s="44" t="s">
        <v>1093</v>
      </c>
      <c r="D580" s="30"/>
      <c r="E580" s="30"/>
      <c r="F580" s="30"/>
      <c r="G580" s="30"/>
      <c r="H580" s="30"/>
    </row>
    <row r="581" spans="2:8" ht="18" customHeight="1" x14ac:dyDescent="0.3">
      <c r="B581" s="27" t="s">
        <v>290</v>
      </c>
      <c r="C581" s="44" t="s">
        <v>166</v>
      </c>
      <c r="D581" s="30"/>
      <c r="E581" s="30"/>
      <c r="F581" s="30"/>
      <c r="G581" s="30"/>
      <c r="H581" s="30"/>
    </row>
    <row r="582" spans="2:8" ht="15.9" customHeight="1" x14ac:dyDescent="0.3">
      <c r="B582" s="43" t="s">
        <v>282</v>
      </c>
      <c r="C582" s="30"/>
      <c r="D582" s="30"/>
      <c r="E582" s="30"/>
      <c r="F582" s="30"/>
      <c r="G582" s="30"/>
      <c r="H582" s="30"/>
    </row>
    <row r="583" spans="2:8" ht="30.9" customHeight="1" x14ac:dyDescent="0.3">
      <c r="B583" s="27" t="s">
        <v>291</v>
      </c>
      <c r="C583" s="44" t="s">
        <v>990</v>
      </c>
      <c r="D583" s="30"/>
      <c r="E583" s="30"/>
      <c r="F583" s="30"/>
      <c r="G583" s="30"/>
      <c r="H583" s="30"/>
    </row>
    <row r="584" spans="2:8" ht="18" customHeight="1" x14ac:dyDescent="0.3">
      <c r="B584" s="27" t="s">
        <v>292</v>
      </c>
      <c r="C584" s="44" t="s">
        <v>982</v>
      </c>
      <c r="D584" s="30"/>
      <c r="E584" s="30"/>
      <c r="F584" s="30"/>
      <c r="G584" s="30"/>
      <c r="H584" s="30"/>
    </row>
    <row r="585" spans="2:8" ht="30.9" customHeight="1" x14ac:dyDescent="0.3">
      <c r="B585" s="27" t="s">
        <v>293</v>
      </c>
      <c r="C585" s="44" t="s">
        <v>991</v>
      </c>
      <c r="D585" s="30"/>
      <c r="E585" s="30"/>
      <c r="F585" s="30"/>
      <c r="G585" s="30"/>
      <c r="H585" s="30"/>
    </row>
    <row r="586" spans="2:8" ht="15.9" customHeight="1" x14ac:dyDescent="0.3">
      <c r="B586" s="43" t="s">
        <v>283</v>
      </c>
      <c r="C586" s="30"/>
      <c r="D586" s="30"/>
      <c r="E586" s="30"/>
      <c r="F586" s="30"/>
      <c r="G586" s="30"/>
      <c r="H586" s="30"/>
    </row>
    <row r="587" spans="2:8" ht="18" customHeight="1" x14ac:dyDescent="0.3">
      <c r="B587" s="27" t="s">
        <v>802</v>
      </c>
      <c r="C587" s="44" t="s">
        <v>1173</v>
      </c>
      <c r="D587" s="30"/>
      <c r="E587" s="30"/>
      <c r="F587" s="30"/>
      <c r="G587" s="30"/>
      <c r="H587" s="30"/>
    </row>
    <row r="588" spans="2:8" ht="18" customHeight="1" x14ac:dyDescent="0.3">
      <c r="B588" s="27" t="s">
        <v>803</v>
      </c>
      <c r="C588" s="44" t="s">
        <v>984</v>
      </c>
      <c r="D588" s="30"/>
      <c r="E588" s="30"/>
      <c r="F588" s="30"/>
      <c r="G588" s="30"/>
      <c r="H588" s="30"/>
    </row>
    <row r="589" spans="2:8" ht="18" customHeight="1" x14ac:dyDescent="0.3">
      <c r="B589" s="27" t="s">
        <v>294</v>
      </c>
      <c r="C589" s="44" t="s">
        <v>308</v>
      </c>
      <c r="D589" s="30"/>
      <c r="E589" s="30"/>
      <c r="F589" s="30"/>
      <c r="G589" s="30"/>
      <c r="H589" s="30"/>
    </row>
    <row r="590" spans="2:8" ht="18" customHeight="1" x14ac:dyDescent="0.3">
      <c r="B590" s="27" t="s">
        <v>295</v>
      </c>
      <c r="C590" s="44" t="s">
        <v>309</v>
      </c>
      <c r="D590" s="30"/>
      <c r="E590" s="30"/>
      <c r="F590" s="30"/>
      <c r="G590" s="30"/>
      <c r="H590" s="30"/>
    </row>
    <row r="591" spans="2:8" ht="18" customHeight="1" x14ac:dyDescent="0.3">
      <c r="B591" s="27" t="s">
        <v>296</v>
      </c>
      <c r="C591" s="44" t="s">
        <v>310</v>
      </c>
      <c r="D591" s="30"/>
      <c r="E591" s="30"/>
      <c r="F591" s="30"/>
      <c r="G591" s="30"/>
      <c r="H591" s="30"/>
    </row>
    <row r="592" spans="2:8" ht="15.9" customHeight="1" x14ac:dyDescent="0.3">
      <c r="B592" s="43" t="s">
        <v>801</v>
      </c>
      <c r="C592" s="30"/>
      <c r="D592" s="30"/>
      <c r="E592" s="30"/>
      <c r="F592" s="30"/>
      <c r="G592" s="30"/>
      <c r="H592" s="30"/>
    </row>
    <row r="593" spans="1:8" ht="30.9" customHeight="1" x14ac:dyDescent="0.3">
      <c r="B593" s="27" t="s">
        <v>804</v>
      </c>
      <c r="C593" s="44" t="s">
        <v>992</v>
      </c>
      <c r="D593" s="30"/>
      <c r="E593" s="30"/>
      <c r="F593" s="30"/>
      <c r="G593" s="30"/>
      <c r="H593" s="30"/>
    </row>
    <row r="594" spans="1:8" ht="18" customHeight="1" x14ac:dyDescent="0.3">
      <c r="B594" s="27" t="s">
        <v>805</v>
      </c>
      <c r="C594" s="44" t="s">
        <v>816</v>
      </c>
      <c r="D594" s="30"/>
      <c r="E594" s="30"/>
      <c r="F594" s="30"/>
      <c r="G594" s="30"/>
      <c r="H594" s="30"/>
    </row>
    <row r="595" spans="1:8" ht="18" customHeight="1" x14ac:dyDescent="0.3">
      <c r="B595" s="27" t="s">
        <v>806</v>
      </c>
      <c r="C595" s="44" t="s">
        <v>993</v>
      </c>
      <c r="D595" s="30"/>
      <c r="E595" s="30"/>
      <c r="F595" s="30"/>
      <c r="G595" s="30"/>
      <c r="H595" s="30"/>
    </row>
    <row r="596" spans="1:8" ht="30.9" customHeight="1" x14ac:dyDescent="0.3">
      <c r="B596" s="27" t="s">
        <v>807</v>
      </c>
      <c r="C596" s="44" t="s">
        <v>994</v>
      </c>
      <c r="D596" s="30"/>
      <c r="E596" s="30"/>
      <c r="F596" s="30"/>
      <c r="G596" s="30"/>
      <c r="H596" s="30"/>
    </row>
    <row r="597" spans="1:8" ht="18" customHeight="1" x14ac:dyDescent="0.3">
      <c r="B597" s="27" t="s">
        <v>808</v>
      </c>
      <c r="C597" s="44" t="s">
        <v>819</v>
      </c>
      <c r="D597" s="30"/>
      <c r="E597" s="30"/>
      <c r="F597" s="30"/>
      <c r="G597" s="30"/>
      <c r="H597" s="30"/>
    </row>
    <row r="598" spans="1:8" ht="15.9" customHeight="1" x14ac:dyDescent="0.3">
      <c r="B598" s="43" t="s">
        <v>285</v>
      </c>
      <c r="C598" s="30"/>
      <c r="D598" s="30"/>
      <c r="E598" s="30"/>
      <c r="F598" s="30"/>
      <c r="G598" s="30"/>
      <c r="H598" s="30"/>
    </row>
    <row r="599" spans="1:8" ht="18" customHeight="1" x14ac:dyDescent="0.3">
      <c r="B599" s="27" t="s">
        <v>809</v>
      </c>
      <c r="C599" s="44" t="s">
        <v>995</v>
      </c>
      <c r="D599" s="30"/>
      <c r="E599" s="30"/>
      <c r="F599" s="30"/>
      <c r="G599" s="30"/>
      <c r="H599" s="30"/>
    </row>
    <row r="600" spans="1:8" ht="18" customHeight="1" x14ac:dyDescent="0.3">
      <c r="B600" s="27" t="s">
        <v>302</v>
      </c>
      <c r="C600" s="44" t="s">
        <v>979</v>
      </c>
      <c r="D600" s="30"/>
      <c r="E600" s="30"/>
      <c r="F600" s="30"/>
      <c r="G600" s="30"/>
      <c r="H600" s="30"/>
    </row>
    <row r="601" spans="1:8" ht="18" customHeight="1" x14ac:dyDescent="0.3">
      <c r="B601" s="27" t="s">
        <v>304</v>
      </c>
      <c r="C601" s="44" t="s">
        <v>1095</v>
      </c>
      <c r="D601" s="30"/>
      <c r="E601" s="30"/>
      <c r="F601" s="30"/>
      <c r="G601" s="30"/>
      <c r="H601" s="30"/>
    </row>
    <row r="604" spans="1:8" ht="21.9" customHeight="1" x14ac:dyDescent="0.3">
      <c r="A604" s="45" t="s">
        <v>1175</v>
      </c>
      <c r="B604" s="30"/>
      <c r="C604" s="30"/>
      <c r="D604" s="30"/>
      <c r="E604" s="30"/>
      <c r="F604" s="30"/>
      <c r="G604" s="30"/>
      <c r="H604" s="30"/>
    </row>
    <row r="606" spans="1:8" ht="15.9" customHeight="1" x14ac:dyDescent="0.3">
      <c r="B606" s="43" t="s">
        <v>3</v>
      </c>
      <c r="C606" s="30"/>
      <c r="D606" s="30"/>
      <c r="E606" s="30"/>
      <c r="F606" s="30"/>
      <c r="G606" s="30"/>
      <c r="H606" s="30"/>
    </row>
    <row r="607" spans="1:8" ht="18" customHeight="1" x14ac:dyDescent="0.3">
      <c r="B607" s="27" t="s">
        <v>286</v>
      </c>
      <c r="C607" s="44" t="s">
        <v>996</v>
      </c>
      <c r="D607" s="30"/>
      <c r="E607" s="30"/>
      <c r="F607" s="30"/>
      <c r="G607" s="30"/>
      <c r="H607" s="30"/>
    </row>
    <row r="608" spans="1:8" ht="18" customHeight="1" x14ac:dyDescent="0.3">
      <c r="B608" s="27" t="s">
        <v>287</v>
      </c>
      <c r="C608" s="44" t="s">
        <v>997</v>
      </c>
      <c r="D608" s="30"/>
      <c r="E608" s="30"/>
      <c r="F608" s="30"/>
      <c r="G608" s="30"/>
      <c r="H608" s="30"/>
    </row>
    <row r="609" spans="2:8" ht="18" customHeight="1" x14ac:dyDescent="0.3">
      <c r="B609" s="27" t="s">
        <v>288</v>
      </c>
      <c r="C609" s="44" t="s">
        <v>169</v>
      </c>
      <c r="D609" s="30"/>
      <c r="E609" s="30"/>
      <c r="F609" s="30"/>
      <c r="G609" s="30"/>
      <c r="H609" s="30"/>
    </row>
    <row r="610" spans="2:8" ht="18" customHeight="1" x14ac:dyDescent="0.3">
      <c r="B610" s="27" t="s">
        <v>289</v>
      </c>
      <c r="C610" s="44" t="s">
        <v>1093</v>
      </c>
      <c r="D610" s="30"/>
      <c r="E610" s="30"/>
      <c r="F610" s="30"/>
      <c r="G610" s="30"/>
      <c r="H610" s="30"/>
    </row>
    <row r="611" spans="2:8" ht="18" customHeight="1" x14ac:dyDescent="0.3">
      <c r="B611" s="27" t="s">
        <v>290</v>
      </c>
      <c r="C611" s="44" t="s">
        <v>166</v>
      </c>
      <c r="D611" s="30"/>
      <c r="E611" s="30"/>
      <c r="F611" s="30"/>
      <c r="G611" s="30"/>
      <c r="H611" s="30"/>
    </row>
    <row r="612" spans="2:8" ht="15.9" customHeight="1" x14ac:dyDescent="0.3">
      <c r="B612" s="43" t="s">
        <v>282</v>
      </c>
      <c r="C612" s="30"/>
      <c r="D612" s="30"/>
      <c r="E612" s="30"/>
      <c r="F612" s="30"/>
      <c r="G612" s="30"/>
      <c r="H612" s="30"/>
    </row>
    <row r="613" spans="2:8" ht="30.9" customHeight="1" x14ac:dyDescent="0.3">
      <c r="B613" s="27" t="s">
        <v>291</v>
      </c>
      <c r="C613" s="44" t="s">
        <v>998</v>
      </c>
      <c r="D613" s="30"/>
      <c r="E613" s="30"/>
      <c r="F613" s="30"/>
      <c r="G613" s="30"/>
      <c r="H613" s="30"/>
    </row>
    <row r="614" spans="2:8" ht="18" customHeight="1" x14ac:dyDescent="0.3">
      <c r="B614" s="27" t="s">
        <v>292</v>
      </c>
      <c r="C614" s="44" t="s">
        <v>982</v>
      </c>
      <c r="D614" s="30"/>
      <c r="E614" s="30"/>
      <c r="F614" s="30"/>
      <c r="G614" s="30"/>
      <c r="H614" s="30"/>
    </row>
    <row r="615" spans="2:8" ht="30.9" customHeight="1" x14ac:dyDescent="0.3">
      <c r="B615" s="27" t="s">
        <v>293</v>
      </c>
      <c r="C615" s="44" t="s">
        <v>999</v>
      </c>
      <c r="D615" s="30"/>
      <c r="E615" s="30"/>
      <c r="F615" s="30"/>
      <c r="G615" s="30"/>
      <c r="H615" s="30"/>
    </row>
    <row r="616" spans="2:8" ht="15.9" customHeight="1" x14ac:dyDescent="0.3">
      <c r="B616" s="43" t="s">
        <v>283</v>
      </c>
      <c r="C616" s="30"/>
      <c r="D616" s="30"/>
      <c r="E616" s="30"/>
      <c r="F616" s="30"/>
      <c r="G616" s="30"/>
      <c r="H616" s="30"/>
    </row>
    <row r="617" spans="2:8" ht="18" customHeight="1" x14ac:dyDescent="0.3">
      <c r="B617" s="27" t="s">
        <v>802</v>
      </c>
      <c r="C617" s="44" t="s">
        <v>1176</v>
      </c>
      <c r="D617" s="30"/>
      <c r="E617" s="30"/>
      <c r="F617" s="30"/>
      <c r="G617" s="30"/>
      <c r="H617" s="30"/>
    </row>
    <row r="618" spans="2:8" ht="18" customHeight="1" x14ac:dyDescent="0.3">
      <c r="B618" s="27" t="s">
        <v>803</v>
      </c>
      <c r="C618" s="44" t="s">
        <v>1000</v>
      </c>
      <c r="D618" s="30"/>
      <c r="E618" s="30"/>
      <c r="F618" s="30"/>
      <c r="G618" s="30"/>
      <c r="H618" s="30"/>
    </row>
    <row r="619" spans="2:8" ht="18" customHeight="1" x14ac:dyDescent="0.3">
      <c r="B619" s="27" t="s">
        <v>294</v>
      </c>
      <c r="C619" s="44" t="s">
        <v>308</v>
      </c>
      <c r="D619" s="30"/>
      <c r="E619" s="30"/>
      <c r="F619" s="30"/>
      <c r="G619" s="30"/>
      <c r="H619" s="30"/>
    </row>
    <row r="620" spans="2:8" ht="18" customHeight="1" x14ac:dyDescent="0.3">
      <c r="B620" s="27" t="s">
        <v>295</v>
      </c>
      <c r="C620" s="44" t="s">
        <v>309</v>
      </c>
      <c r="D620" s="30"/>
      <c r="E620" s="30"/>
      <c r="F620" s="30"/>
      <c r="G620" s="30"/>
      <c r="H620" s="30"/>
    </row>
    <row r="621" spans="2:8" ht="18" customHeight="1" x14ac:dyDescent="0.3">
      <c r="B621" s="27" t="s">
        <v>296</v>
      </c>
      <c r="C621" s="44" t="s">
        <v>310</v>
      </c>
      <c r="D621" s="30"/>
      <c r="E621" s="30"/>
      <c r="F621" s="30"/>
      <c r="G621" s="30"/>
      <c r="H621" s="30"/>
    </row>
    <row r="622" spans="2:8" ht="15.9" customHeight="1" x14ac:dyDescent="0.3">
      <c r="B622" s="43" t="s">
        <v>801</v>
      </c>
      <c r="C622" s="30"/>
      <c r="D622" s="30"/>
      <c r="E622" s="30"/>
      <c r="F622" s="30"/>
      <c r="G622" s="30"/>
      <c r="H622" s="30"/>
    </row>
    <row r="623" spans="2:8" ht="30.9" customHeight="1" x14ac:dyDescent="0.3">
      <c r="B623" s="27" t="s">
        <v>804</v>
      </c>
      <c r="C623" s="44" t="s">
        <v>1001</v>
      </c>
      <c r="D623" s="30"/>
      <c r="E623" s="30"/>
      <c r="F623" s="30"/>
      <c r="G623" s="30"/>
      <c r="H623" s="30"/>
    </row>
    <row r="624" spans="2:8" ht="18" customHeight="1" x14ac:dyDescent="0.3">
      <c r="B624" s="27" t="s">
        <v>805</v>
      </c>
      <c r="C624" s="44" t="s">
        <v>838</v>
      </c>
      <c r="D624" s="30"/>
      <c r="E624" s="30"/>
      <c r="F624" s="30"/>
      <c r="G624" s="30"/>
      <c r="H624" s="30"/>
    </row>
    <row r="625" spans="1:8" ht="18" customHeight="1" x14ac:dyDescent="0.3">
      <c r="B625" s="27" t="s">
        <v>806</v>
      </c>
      <c r="C625" s="44" t="s">
        <v>1002</v>
      </c>
      <c r="D625" s="30"/>
      <c r="E625" s="30"/>
      <c r="F625" s="30"/>
      <c r="G625" s="30"/>
      <c r="H625" s="30"/>
    </row>
    <row r="626" spans="1:8" ht="18" customHeight="1" x14ac:dyDescent="0.3">
      <c r="B626" s="27" t="s">
        <v>807</v>
      </c>
      <c r="C626" s="44" t="s">
        <v>1003</v>
      </c>
      <c r="D626" s="30"/>
      <c r="E626" s="30"/>
      <c r="F626" s="30"/>
      <c r="G626" s="30"/>
      <c r="H626" s="30"/>
    </row>
    <row r="627" spans="1:8" ht="18" customHeight="1" x14ac:dyDescent="0.3">
      <c r="B627" s="27" t="s">
        <v>808</v>
      </c>
      <c r="C627" s="44" t="s">
        <v>949</v>
      </c>
      <c r="D627" s="30"/>
      <c r="E627" s="30"/>
      <c r="F627" s="30"/>
      <c r="G627" s="30"/>
      <c r="H627" s="30"/>
    </row>
    <row r="628" spans="1:8" ht="15.9" customHeight="1" x14ac:dyDescent="0.3">
      <c r="B628" s="43" t="s">
        <v>285</v>
      </c>
      <c r="C628" s="30"/>
      <c r="D628" s="30"/>
      <c r="E628" s="30"/>
      <c r="F628" s="30"/>
      <c r="G628" s="30"/>
      <c r="H628" s="30"/>
    </row>
    <row r="629" spans="1:8" ht="18" customHeight="1" x14ac:dyDescent="0.3">
      <c r="B629" s="27" t="s">
        <v>809</v>
      </c>
      <c r="C629" s="44" t="s">
        <v>919</v>
      </c>
      <c r="D629" s="30"/>
      <c r="E629" s="30"/>
      <c r="F629" s="30"/>
      <c r="G629" s="30"/>
      <c r="H629" s="30"/>
    </row>
    <row r="630" spans="1:8" ht="18" customHeight="1" x14ac:dyDescent="0.3">
      <c r="B630" s="27" t="s">
        <v>302</v>
      </c>
      <c r="C630" s="44" t="s">
        <v>979</v>
      </c>
      <c r="D630" s="30"/>
      <c r="E630" s="30"/>
      <c r="F630" s="30"/>
      <c r="G630" s="30"/>
      <c r="H630" s="30"/>
    </row>
    <row r="631" spans="1:8" ht="18" customHeight="1" x14ac:dyDescent="0.3">
      <c r="B631" s="27" t="s">
        <v>304</v>
      </c>
      <c r="C631" s="44" t="s">
        <v>1095</v>
      </c>
      <c r="D631" s="30"/>
      <c r="E631" s="30"/>
      <c r="F631" s="30"/>
      <c r="G631" s="30"/>
      <c r="H631" s="30"/>
    </row>
    <row r="634" spans="1:8" ht="21.9" customHeight="1" x14ac:dyDescent="0.3">
      <c r="A634" s="45" t="s">
        <v>1177</v>
      </c>
      <c r="B634" s="30"/>
      <c r="C634" s="30"/>
      <c r="D634" s="30"/>
      <c r="E634" s="30"/>
      <c r="F634" s="30"/>
      <c r="G634" s="30"/>
      <c r="H634" s="30"/>
    </row>
    <row r="636" spans="1:8" ht="15.9" customHeight="1" x14ac:dyDescent="0.3">
      <c r="B636" s="43" t="s">
        <v>3</v>
      </c>
      <c r="C636" s="30"/>
      <c r="D636" s="30"/>
      <c r="E636" s="30"/>
      <c r="F636" s="30"/>
      <c r="G636" s="30"/>
      <c r="H636" s="30"/>
    </row>
    <row r="637" spans="1:8" ht="18" customHeight="1" x14ac:dyDescent="0.3">
      <c r="B637" s="27" t="s">
        <v>286</v>
      </c>
      <c r="C637" s="44" t="s">
        <v>1004</v>
      </c>
      <c r="D637" s="30"/>
      <c r="E637" s="30"/>
      <c r="F637" s="30"/>
      <c r="G637" s="30"/>
      <c r="H637" s="30"/>
    </row>
    <row r="638" spans="1:8" ht="18" customHeight="1" x14ac:dyDescent="0.3">
      <c r="B638" s="27" t="s">
        <v>287</v>
      </c>
      <c r="C638" s="44" t="s">
        <v>1005</v>
      </c>
      <c r="D638" s="30"/>
      <c r="E638" s="30"/>
      <c r="F638" s="30"/>
      <c r="G638" s="30"/>
      <c r="H638" s="30"/>
    </row>
    <row r="639" spans="1:8" ht="18" customHeight="1" x14ac:dyDescent="0.3">
      <c r="B639" s="27" t="s">
        <v>288</v>
      </c>
      <c r="C639" s="44" t="s">
        <v>169</v>
      </c>
      <c r="D639" s="30"/>
      <c r="E639" s="30"/>
      <c r="F639" s="30"/>
      <c r="G639" s="30"/>
      <c r="H639" s="30"/>
    </row>
    <row r="640" spans="1:8" ht="18" customHeight="1" x14ac:dyDescent="0.3">
      <c r="B640" s="27" t="s">
        <v>289</v>
      </c>
      <c r="C640" s="44" t="s">
        <v>1093</v>
      </c>
      <c r="D640" s="30"/>
      <c r="E640" s="30"/>
      <c r="F640" s="30"/>
      <c r="G640" s="30"/>
      <c r="H640" s="30"/>
    </row>
    <row r="641" spans="2:8" ht="18" customHeight="1" x14ac:dyDescent="0.3">
      <c r="B641" s="27" t="s">
        <v>290</v>
      </c>
      <c r="C641" s="44" t="s">
        <v>166</v>
      </c>
      <c r="D641" s="30"/>
      <c r="E641" s="30"/>
      <c r="F641" s="30"/>
      <c r="G641" s="30"/>
      <c r="H641" s="30"/>
    </row>
    <row r="642" spans="2:8" ht="15.9" customHeight="1" x14ac:dyDescent="0.3">
      <c r="B642" s="43" t="s">
        <v>282</v>
      </c>
      <c r="C642" s="30"/>
      <c r="D642" s="30"/>
      <c r="E642" s="30"/>
      <c r="F642" s="30"/>
      <c r="G642" s="30"/>
      <c r="H642" s="30"/>
    </row>
    <row r="643" spans="2:8" ht="30.9" customHeight="1" x14ac:dyDescent="0.3">
      <c r="B643" s="27" t="s">
        <v>291</v>
      </c>
      <c r="C643" s="44" t="s">
        <v>1006</v>
      </c>
      <c r="D643" s="30"/>
      <c r="E643" s="30"/>
      <c r="F643" s="30"/>
      <c r="G643" s="30"/>
      <c r="H643" s="30"/>
    </row>
    <row r="644" spans="2:8" ht="18" customHeight="1" x14ac:dyDescent="0.3">
      <c r="B644" s="27" t="s">
        <v>292</v>
      </c>
      <c r="C644" s="44" t="s">
        <v>982</v>
      </c>
      <c r="D644" s="30"/>
      <c r="E644" s="30"/>
      <c r="F644" s="30"/>
      <c r="G644" s="30"/>
      <c r="H644" s="30"/>
    </row>
    <row r="645" spans="2:8" ht="30.9" customHeight="1" x14ac:dyDescent="0.3">
      <c r="B645" s="27" t="s">
        <v>293</v>
      </c>
      <c r="C645" s="44" t="s">
        <v>1007</v>
      </c>
      <c r="D645" s="30"/>
      <c r="E645" s="30"/>
      <c r="F645" s="30"/>
      <c r="G645" s="30"/>
      <c r="H645" s="30"/>
    </row>
    <row r="646" spans="2:8" ht="15.9" customHeight="1" x14ac:dyDescent="0.3">
      <c r="B646" s="43" t="s">
        <v>283</v>
      </c>
      <c r="C646" s="30"/>
      <c r="D646" s="30"/>
      <c r="E646" s="30"/>
      <c r="F646" s="30"/>
      <c r="G646" s="30"/>
      <c r="H646" s="30"/>
    </row>
    <row r="647" spans="2:8" ht="18" customHeight="1" x14ac:dyDescent="0.3">
      <c r="B647" s="27" t="s">
        <v>802</v>
      </c>
      <c r="C647" s="44" t="s">
        <v>1173</v>
      </c>
      <c r="D647" s="30"/>
      <c r="E647" s="30"/>
      <c r="F647" s="30"/>
      <c r="G647" s="30"/>
      <c r="H647" s="30"/>
    </row>
    <row r="648" spans="2:8" ht="18" customHeight="1" x14ac:dyDescent="0.3">
      <c r="B648" s="27" t="s">
        <v>803</v>
      </c>
      <c r="C648" s="44" t="s">
        <v>1008</v>
      </c>
      <c r="D648" s="30"/>
      <c r="E648" s="30"/>
      <c r="F648" s="30"/>
      <c r="G648" s="30"/>
      <c r="H648" s="30"/>
    </row>
    <row r="649" spans="2:8" ht="18" customHeight="1" x14ac:dyDescent="0.3">
      <c r="B649" s="27" t="s">
        <v>294</v>
      </c>
      <c r="C649" s="44" t="s">
        <v>957</v>
      </c>
      <c r="D649" s="30"/>
      <c r="E649" s="30"/>
      <c r="F649" s="30"/>
      <c r="G649" s="30"/>
      <c r="H649" s="30"/>
    </row>
    <row r="650" spans="2:8" ht="18" customHeight="1" x14ac:dyDescent="0.3">
      <c r="B650" s="27" t="s">
        <v>295</v>
      </c>
      <c r="C650" s="44" t="s">
        <v>958</v>
      </c>
      <c r="D650" s="30"/>
      <c r="E650" s="30"/>
      <c r="F650" s="30"/>
      <c r="G650" s="30"/>
      <c r="H650" s="30"/>
    </row>
    <row r="651" spans="2:8" ht="18" customHeight="1" x14ac:dyDescent="0.3">
      <c r="B651" s="27" t="s">
        <v>296</v>
      </c>
      <c r="C651" s="44" t="s">
        <v>310</v>
      </c>
      <c r="D651" s="30"/>
      <c r="E651" s="30"/>
      <c r="F651" s="30"/>
      <c r="G651" s="30"/>
      <c r="H651" s="30"/>
    </row>
    <row r="652" spans="2:8" ht="15.9" customHeight="1" x14ac:dyDescent="0.3">
      <c r="B652" s="43" t="s">
        <v>801</v>
      </c>
      <c r="C652" s="30"/>
      <c r="D652" s="30"/>
      <c r="E652" s="30"/>
      <c r="F652" s="30"/>
      <c r="G652" s="30"/>
      <c r="H652" s="30"/>
    </row>
    <row r="653" spans="2:8" ht="30.9" customHeight="1" x14ac:dyDescent="0.3">
      <c r="B653" s="27" t="s">
        <v>804</v>
      </c>
      <c r="C653" s="44" t="s">
        <v>1009</v>
      </c>
      <c r="D653" s="30"/>
      <c r="E653" s="30"/>
      <c r="F653" s="30"/>
      <c r="G653" s="30"/>
      <c r="H653" s="30"/>
    </row>
    <row r="654" spans="2:8" ht="18" customHeight="1" x14ac:dyDescent="0.3">
      <c r="B654" s="27" t="s">
        <v>805</v>
      </c>
      <c r="C654" s="44" t="s">
        <v>816</v>
      </c>
      <c r="D654" s="30"/>
      <c r="E654" s="30"/>
      <c r="F654" s="30"/>
      <c r="G654" s="30"/>
      <c r="H654" s="30"/>
    </row>
    <row r="655" spans="2:8" ht="18" customHeight="1" x14ac:dyDescent="0.3">
      <c r="B655" s="27" t="s">
        <v>806</v>
      </c>
      <c r="C655" s="44" t="s">
        <v>1010</v>
      </c>
      <c r="D655" s="30"/>
      <c r="E655" s="30"/>
      <c r="F655" s="30"/>
      <c r="G655" s="30"/>
      <c r="H655" s="30"/>
    </row>
    <row r="656" spans="2:8" ht="18" customHeight="1" x14ac:dyDescent="0.3">
      <c r="B656" s="27" t="s">
        <v>807</v>
      </c>
      <c r="C656" s="44" t="s">
        <v>1011</v>
      </c>
      <c r="D656" s="30"/>
      <c r="E656" s="30"/>
      <c r="F656" s="30"/>
      <c r="G656" s="30"/>
      <c r="H656" s="30"/>
    </row>
    <row r="657" spans="1:8" ht="18" customHeight="1" x14ac:dyDescent="0.3">
      <c r="B657" s="27" t="s">
        <v>808</v>
      </c>
      <c r="C657" s="44" t="s">
        <v>1012</v>
      </c>
      <c r="D657" s="30"/>
      <c r="E657" s="30"/>
      <c r="F657" s="30"/>
      <c r="G657" s="30"/>
      <c r="H657" s="30"/>
    </row>
    <row r="658" spans="1:8" ht="15.9" customHeight="1" x14ac:dyDescent="0.3">
      <c r="B658" s="43" t="s">
        <v>285</v>
      </c>
      <c r="C658" s="30"/>
      <c r="D658" s="30"/>
      <c r="E658" s="30"/>
      <c r="F658" s="30"/>
      <c r="G658" s="30"/>
      <c r="H658" s="30"/>
    </row>
    <row r="659" spans="1:8" ht="18" customHeight="1" x14ac:dyDescent="0.3">
      <c r="B659" s="27" t="s">
        <v>809</v>
      </c>
      <c r="C659" s="44" t="s">
        <v>1013</v>
      </c>
      <c r="D659" s="30"/>
      <c r="E659" s="30"/>
      <c r="F659" s="30"/>
      <c r="G659" s="30"/>
      <c r="H659" s="30"/>
    </row>
    <row r="660" spans="1:8" ht="18" customHeight="1" x14ac:dyDescent="0.3">
      <c r="B660" s="27" t="s">
        <v>302</v>
      </c>
      <c r="C660" s="44" t="s">
        <v>979</v>
      </c>
      <c r="D660" s="30"/>
      <c r="E660" s="30"/>
      <c r="F660" s="30"/>
      <c r="G660" s="30"/>
      <c r="H660" s="30"/>
    </row>
    <row r="661" spans="1:8" ht="18" customHeight="1" x14ac:dyDescent="0.3">
      <c r="B661" s="27" t="s">
        <v>304</v>
      </c>
      <c r="C661" s="44" t="s">
        <v>1095</v>
      </c>
      <c r="D661" s="30"/>
      <c r="E661" s="30"/>
      <c r="F661" s="30"/>
      <c r="G661" s="30"/>
      <c r="H661" s="30"/>
    </row>
    <row r="664" spans="1:8" ht="21.9" customHeight="1" x14ac:dyDescent="0.3">
      <c r="A664" s="45" t="s">
        <v>1178</v>
      </c>
      <c r="B664" s="30"/>
      <c r="C664" s="30"/>
      <c r="D664" s="30"/>
      <c r="E664" s="30"/>
      <c r="F664" s="30"/>
      <c r="G664" s="30"/>
      <c r="H664" s="30"/>
    </row>
    <row r="666" spans="1:8" ht="15.9" customHeight="1" x14ac:dyDescent="0.3">
      <c r="B666" s="43" t="s">
        <v>3</v>
      </c>
      <c r="C666" s="30"/>
      <c r="D666" s="30"/>
      <c r="E666" s="30"/>
      <c r="F666" s="30"/>
      <c r="G666" s="30"/>
      <c r="H666" s="30"/>
    </row>
    <row r="667" spans="1:8" ht="18" customHeight="1" x14ac:dyDescent="0.3">
      <c r="B667" s="27" t="s">
        <v>286</v>
      </c>
      <c r="C667" s="44" t="s">
        <v>1014</v>
      </c>
      <c r="D667" s="30"/>
      <c r="E667" s="30"/>
      <c r="F667" s="30"/>
      <c r="G667" s="30"/>
      <c r="H667" s="30"/>
    </row>
    <row r="668" spans="1:8" ht="18" customHeight="1" x14ac:dyDescent="0.3">
      <c r="B668" s="27" t="s">
        <v>287</v>
      </c>
      <c r="C668" s="44" t="s">
        <v>1015</v>
      </c>
      <c r="D668" s="30"/>
      <c r="E668" s="30"/>
      <c r="F668" s="30"/>
      <c r="G668" s="30"/>
      <c r="H668" s="30"/>
    </row>
    <row r="669" spans="1:8" ht="18" customHeight="1" x14ac:dyDescent="0.3">
      <c r="B669" s="27" t="s">
        <v>288</v>
      </c>
      <c r="C669" s="44" t="s">
        <v>169</v>
      </c>
      <c r="D669" s="30"/>
      <c r="E669" s="30"/>
      <c r="F669" s="30"/>
      <c r="G669" s="30"/>
      <c r="H669" s="30"/>
    </row>
    <row r="670" spans="1:8" ht="18" customHeight="1" x14ac:dyDescent="0.3">
      <c r="B670" s="27" t="s">
        <v>289</v>
      </c>
      <c r="C670" s="44" t="s">
        <v>1093</v>
      </c>
      <c r="D670" s="30"/>
      <c r="E670" s="30"/>
      <c r="F670" s="30"/>
      <c r="G670" s="30"/>
      <c r="H670" s="30"/>
    </row>
    <row r="671" spans="1:8" ht="18" customHeight="1" x14ac:dyDescent="0.3">
      <c r="B671" s="27" t="s">
        <v>290</v>
      </c>
      <c r="C671" s="44" t="s">
        <v>166</v>
      </c>
      <c r="D671" s="30"/>
      <c r="E671" s="30"/>
      <c r="F671" s="30"/>
      <c r="G671" s="30"/>
      <c r="H671" s="30"/>
    </row>
    <row r="672" spans="1:8" ht="15.9" customHeight="1" x14ac:dyDescent="0.3">
      <c r="B672" s="43" t="s">
        <v>282</v>
      </c>
      <c r="C672" s="30"/>
      <c r="D672" s="30"/>
      <c r="E672" s="30"/>
      <c r="F672" s="30"/>
      <c r="G672" s="30"/>
      <c r="H672" s="30"/>
    </row>
    <row r="673" spans="2:8" ht="30.9" customHeight="1" x14ac:dyDescent="0.3">
      <c r="B673" s="27" t="s">
        <v>291</v>
      </c>
      <c r="C673" s="44" t="s">
        <v>1016</v>
      </c>
      <c r="D673" s="30"/>
      <c r="E673" s="30"/>
      <c r="F673" s="30"/>
      <c r="G673" s="30"/>
      <c r="H673" s="30"/>
    </row>
    <row r="674" spans="2:8" ht="18" customHeight="1" x14ac:dyDescent="0.3">
      <c r="B674" s="27" t="s">
        <v>292</v>
      </c>
      <c r="C674" s="44" t="s">
        <v>1017</v>
      </c>
      <c r="D674" s="30"/>
      <c r="E674" s="30"/>
      <c r="F674" s="30"/>
      <c r="G674" s="30"/>
      <c r="H674" s="30"/>
    </row>
    <row r="675" spans="2:8" ht="30.9" customHeight="1" x14ac:dyDescent="0.3">
      <c r="B675" s="27" t="s">
        <v>293</v>
      </c>
      <c r="C675" s="44" t="s">
        <v>1018</v>
      </c>
      <c r="D675" s="30"/>
      <c r="E675" s="30"/>
      <c r="F675" s="30"/>
      <c r="G675" s="30"/>
      <c r="H675" s="30"/>
    </row>
    <row r="676" spans="2:8" ht="15.9" customHeight="1" x14ac:dyDescent="0.3">
      <c r="B676" s="43" t="s">
        <v>283</v>
      </c>
      <c r="C676" s="30"/>
      <c r="D676" s="30"/>
      <c r="E676" s="30"/>
      <c r="F676" s="30"/>
      <c r="G676" s="30"/>
      <c r="H676" s="30"/>
    </row>
    <row r="677" spans="2:8" ht="18" customHeight="1" x14ac:dyDescent="0.3">
      <c r="B677" s="27" t="s">
        <v>802</v>
      </c>
      <c r="C677" s="44" t="s">
        <v>1179</v>
      </c>
      <c r="D677" s="30"/>
      <c r="E677" s="30"/>
      <c r="F677" s="30"/>
      <c r="G677" s="30"/>
      <c r="H677" s="30"/>
    </row>
    <row r="678" spans="2:8" ht="18" customHeight="1" x14ac:dyDescent="0.3">
      <c r="B678" s="27" t="s">
        <v>803</v>
      </c>
      <c r="C678" s="44" t="s">
        <v>1019</v>
      </c>
      <c r="D678" s="30"/>
      <c r="E678" s="30"/>
      <c r="F678" s="30"/>
      <c r="G678" s="30"/>
      <c r="H678" s="30"/>
    </row>
    <row r="679" spans="2:8" ht="18" customHeight="1" x14ac:dyDescent="0.3">
      <c r="B679" s="27" t="s">
        <v>294</v>
      </c>
      <c r="C679" s="44" t="s">
        <v>308</v>
      </c>
      <c r="D679" s="30"/>
      <c r="E679" s="30"/>
      <c r="F679" s="30"/>
      <c r="G679" s="30"/>
      <c r="H679" s="30"/>
    </row>
    <row r="680" spans="2:8" ht="18" customHeight="1" x14ac:dyDescent="0.3">
      <c r="B680" s="27" t="s">
        <v>295</v>
      </c>
      <c r="C680" s="44" t="s">
        <v>309</v>
      </c>
      <c r="D680" s="30"/>
      <c r="E680" s="30"/>
      <c r="F680" s="30"/>
      <c r="G680" s="30"/>
      <c r="H680" s="30"/>
    </row>
    <row r="681" spans="2:8" ht="18" customHeight="1" x14ac:dyDescent="0.3">
      <c r="B681" s="27" t="s">
        <v>296</v>
      </c>
      <c r="C681" s="44" t="s">
        <v>310</v>
      </c>
      <c r="D681" s="30"/>
      <c r="E681" s="30"/>
      <c r="F681" s="30"/>
      <c r="G681" s="30"/>
      <c r="H681" s="30"/>
    </row>
    <row r="682" spans="2:8" ht="15.9" customHeight="1" x14ac:dyDescent="0.3">
      <c r="B682" s="43" t="s">
        <v>801</v>
      </c>
      <c r="C682" s="30"/>
      <c r="D682" s="30"/>
      <c r="E682" s="30"/>
      <c r="F682" s="30"/>
      <c r="G682" s="30"/>
      <c r="H682" s="30"/>
    </row>
    <row r="683" spans="2:8" ht="18" customHeight="1" x14ac:dyDescent="0.3">
      <c r="B683" s="27" t="s">
        <v>804</v>
      </c>
      <c r="C683" s="44" t="s">
        <v>1020</v>
      </c>
      <c r="D683" s="30"/>
      <c r="E683" s="30"/>
      <c r="F683" s="30"/>
      <c r="G683" s="30"/>
      <c r="H683" s="30"/>
    </row>
    <row r="684" spans="2:8" ht="18" customHeight="1" x14ac:dyDescent="0.3">
      <c r="B684" s="27" t="s">
        <v>805</v>
      </c>
      <c r="C684" s="44" t="s">
        <v>838</v>
      </c>
      <c r="D684" s="30"/>
      <c r="E684" s="30"/>
      <c r="F684" s="30"/>
      <c r="G684" s="30"/>
      <c r="H684" s="30"/>
    </row>
    <row r="685" spans="2:8" ht="18" customHeight="1" x14ac:dyDescent="0.3">
      <c r="B685" s="27" t="s">
        <v>806</v>
      </c>
      <c r="C685" s="44" t="s">
        <v>1021</v>
      </c>
      <c r="D685" s="30"/>
      <c r="E685" s="30"/>
      <c r="F685" s="30"/>
      <c r="G685" s="30"/>
      <c r="H685" s="30"/>
    </row>
    <row r="686" spans="2:8" ht="18" customHeight="1" x14ac:dyDescent="0.3">
      <c r="B686" s="27" t="s">
        <v>807</v>
      </c>
      <c r="C686" s="44" t="s">
        <v>1022</v>
      </c>
      <c r="D686" s="30"/>
      <c r="E686" s="30"/>
      <c r="F686" s="30"/>
      <c r="G686" s="30"/>
      <c r="H686" s="30"/>
    </row>
    <row r="687" spans="2:8" ht="18" customHeight="1" x14ac:dyDescent="0.3">
      <c r="B687" s="27" t="s">
        <v>808</v>
      </c>
      <c r="C687" s="44" t="s">
        <v>830</v>
      </c>
      <c r="D687" s="30"/>
      <c r="E687" s="30"/>
      <c r="F687" s="30"/>
      <c r="G687" s="30"/>
      <c r="H687" s="30"/>
    </row>
    <row r="688" spans="2:8" ht="15.9" customHeight="1" x14ac:dyDescent="0.3">
      <c r="B688" s="43" t="s">
        <v>285</v>
      </c>
      <c r="C688" s="30"/>
      <c r="D688" s="30"/>
      <c r="E688" s="30"/>
      <c r="F688" s="30"/>
      <c r="G688" s="30"/>
      <c r="H688" s="30"/>
    </row>
    <row r="689" spans="1:8" ht="18" customHeight="1" x14ac:dyDescent="0.3">
      <c r="B689" s="27" t="s">
        <v>809</v>
      </c>
      <c r="C689" s="44" t="s">
        <v>1023</v>
      </c>
      <c r="D689" s="30"/>
      <c r="E689" s="30"/>
      <c r="F689" s="30"/>
      <c r="G689" s="30"/>
      <c r="H689" s="30"/>
    </row>
    <row r="690" spans="1:8" ht="18" customHeight="1" x14ac:dyDescent="0.3">
      <c r="B690" s="27" t="s">
        <v>302</v>
      </c>
      <c r="C690" s="44" t="s">
        <v>313</v>
      </c>
      <c r="D690" s="30"/>
      <c r="E690" s="30"/>
      <c r="F690" s="30"/>
      <c r="G690" s="30"/>
      <c r="H690" s="30"/>
    </row>
    <row r="691" spans="1:8" ht="18" customHeight="1" x14ac:dyDescent="0.3">
      <c r="B691" s="27" t="s">
        <v>304</v>
      </c>
      <c r="C691" s="44" t="s">
        <v>1095</v>
      </c>
      <c r="D691" s="30"/>
      <c r="E691" s="30"/>
      <c r="F691" s="30"/>
      <c r="G691" s="30"/>
      <c r="H691" s="30"/>
    </row>
    <row r="694" spans="1:8" ht="21.9" customHeight="1" x14ac:dyDescent="0.3">
      <c r="A694" s="45" t="s">
        <v>1180</v>
      </c>
      <c r="B694" s="30"/>
      <c r="C694" s="30"/>
      <c r="D694" s="30"/>
      <c r="E694" s="30"/>
      <c r="F694" s="30"/>
      <c r="G694" s="30"/>
      <c r="H694" s="30"/>
    </row>
    <row r="696" spans="1:8" ht="15.9" customHeight="1" x14ac:dyDescent="0.3">
      <c r="B696" s="43" t="s">
        <v>3</v>
      </c>
      <c r="C696" s="30"/>
      <c r="D696" s="30"/>
      <c r="E696" s="30"/>
      <c r="F696" s="30"/>
      <c r="G696" s="30"/>
      <c r="H696" s="30"/>
    </row>
    <row r="697" spans="1:8" ht="18" customHeight="1" x14ac:dyDescent="0.3">
      <c r="B697" s="27" t="s">
        <v>286</v>
      </c>
      <c r="C697" s="44" t="s">
        <v>1024</v>
      </c>
      <c r="D697" s="30"/>
      <c r="E697" s="30"/>
      <c r="F697" s="30"/>
      <c r="G697" s="30"/>
      <c r="H697" s="30"/>
    </row>
    <row r="698" spans="1:8" ht="18" customHeight="1" x14ac:dyDescent="0.3">
      <c r="B698" s="27" t="s">
        <v>287</v>
      </c>
      <c r="C698" s="44" t="s">
        <v>1025</v>
      </c>
      <c r="D698" s="30"/>
      <c r="E698" s="30"/>
      <c r="F698" s="30"/>
      <c r="G698" s="30"/>
      <c r="H698" s="30"/>
    </row>
    <row r="699" spans="1:8" ht="18" customHeight="1" x14ac:dyDescent="0.3">
      <c r="B699" s="27" t="s">
        <v>288</v>
      </c>
      <c r="C699" s="44" t="s">
        <v>169</v>
      </c>
      <c r="D699" s="30"/>
      <c r="E699" s="30"/>
      <c r="F699" s="30"/>
      <c r="G699" s="30"/>
      <c r="H699" s="30"/>
    </row>
    <row r="700" spans="1:8" ht="18" customHeight="1" x14ac:dyDescent="0.3">
      <c r="B700" s="27" t="s">
        <v>289</v>
      </c>
      <c r="C700" s="44" t="s">
        <v>1093</v>
      </c>
      <c r="D700" s="30"/>
      <c r="E700" s="30"/>
      <c r="F700" s="30"/>
      <c r="G700" s="30"/>
      <c r="H700" s="30"/>
    </row>
    <row r="701" spans="1:8" ht="18" customHeight="1" x14ac:dyDescent="0.3">
      <c r="B701" s="27" t="s">
        <v>290</v>
      </c>
      <c r="C701" s="44" t="s">
        <v>166</v>
      </c>
      <c r="D701" s="30"/>
      <c r="E701" s="30"/>
      <c r="F701" s="30"/>
      <c r="G701" s="30"/>
      <c r="H701" s="30"/>
    </row>
    <row r="702" spans="1:8" ht="15.9" customHeight="1" x14ac:dyDescent="0.3">
      <c r="B702" s="43" t="s">
        <v>282</v>
      </c>
      <c r="C702" s="30"/>
      <c r="D702" s="30"/>
      <c r="E702" s="30"/>
      <c r="F702" s="30"/>
      <c r="G702" s="30"/>
      <c r="H702" s="30"/>
    </row>
    <row r="703" spans="1:8" ht="18" customHeight="1" x14ac:dyDescent="0.3">
      <c r="B703" s="27" t="s">
        <v>291</v>
      </c>
      <c r="C703" s="44" t="s">
        <v>1026</v>
      </c>
      <c r="D703" s="30"/>
      <c r="E703" s="30"/>
      <c r="F703" s="30"/>
      <c r="G703" s="30"/>
      <c r="H703" s="30"/>
    </row>
    <row r="704" spans="1:8" ht="18" customHeight="1" x14ac:dyDescent="0.3">
      <c r="B704" s="27" t="s">
        <v>292</v>
      </c>
      <c r="C704" s="44" t="s">
        <v>1027</v>
      </c>
      <c r="D704" s="30"/>
      <c r="E704" s="30"/>
      <c r="F704" s="30"/>
      <c r="G704" s="30"/>
      <c r="H704" s="30"/>
    </row>
    <row r="705" spans="2:8" ht="30.9" customHeight="1" x14ac:dyDescent="0.3">
      <c r="B705" s="27" t="s">
        <v>293</v>
      </c>
      <c r="C705" s="44" t="s">
        <v>1028</v>
      </c>
      <c r="D705" s="30"/>
      <c r="E705" s="30"/>
      <c r="F705" s="30"/>
      <c r="G705" s="30"/>
      <c r="H705" s="30"/>
    </row>
    <row r="706" spans="2:8" ht="15.9" customHeight="1" x14ac:dyDescent="0.3">
      <c r="B706" s="43" t="s">
        <v>283</v>
      </c>
      <c r="C706" s="30"/>
      <c r="D706" s="30"/>
      <c r="E706" s="30"/>
      <c r="F706" s="30"/>
      <c r="G706" s="30"/>
      <c r="H706" s="30"/>
    </row>
    <row r="707" spans="2:8" ht="18" customHeight="1" x14ac:dyDescent="0.3">
      <c r="B707" s="27" t="s">
        <v>802</v>
      </c>
      <c r="C707" s="44" t="s">
        <v>1159</v>
      </c>
      <c r="D707" s="30"/>
      <c r="E707" s="30"/>
      <c r="F707" s="30"/>
      <c r="G707" s="30"/>
      <c r="H707" s="30"/>
    </row>
    <row r="708" spans="2:8" ht="18" customHeight="1" x14ac:dyDescent="0.3">
      <c r="B708" s="27" t="s">
        <v>803</v>
      </c>
      <c r="C708" s="44" t="s">
        <v>1029</v>
      </c>
      <c r="D708" s="30"/>
      <c r="E708" s="30"/>
      <c r="F708" s="30"/>
      <c r="G708" s="30"/>
      <c r="H708" s="30"/>
    </row>
    <row r="709" spans="2:8" ht="18" customHeight="1" x14ac:dyDescent="0.3">
      <c r="B709" s="27" t="s">
        <v>294</v>
      </c>
      <c r="C709" s="44" t="s">
        <v>308</v>
      </c>
      <c r="D709" s="30"/>
      <c r="E709" s="30"/>
      <c r="F709" s="30"/>
      <c r="G709" s="30"/>
      <c r="H709" s="30"/>
    </row>
    <row r="710" spans="2:8" ht="18" customHeight="1" x14ac:dyDescent="0.3">
      <c r="B710" s="27" t="s">
        <v>295</v>
      </c>
      <c r="C710" s="44" t="s">
        <v>309</v>
      </c>
      <c r="D710" s="30"/>
      <c r="E710" s="30"/>
      <c r="F710" s="30"/>
      <c r="G710" s="30"/>
      <c r="H710" s="30"/>
    </row>
    <row r="711" spans="2:8" ht="18" customHeight="1" x14ac:dyDescent="0.3">
      <c r="B711" s="27" t="s">
        <v>296</v>
      </c>
      <c r="C711" s="44" t="s">
        <v>310</v>
      </c>
      <c r="D711" s="30"/>
      <c r="E711" s="30"/>
      <c r="F711" s="30"/>
      <c r="G711" s="30"/>
      <c r="H711" s="30"/>
    </row>
    <row r="712" spans="2:8" ht="15.9" customHeight="1" x14ac:dyDescent="0.3">
      <c r="B712" s="43" t="s">
        <v>801</v>
      </c>
      <c r="C712" s="30"/>
      <c r="D712" s="30"/>
      <c r="E712" s="30"/>
      <c r="F712" s="30"/>
      <c r="G712" s="30"/>
      <c r="H712" s="30"/>
    </row>
    <row r="713" spans="2:8" ht="18" customHeight="1" x14ac:dyDescent="0.3">
      <c r="B713" s="27" t="s">
        <v>804</v>
      </c>
      <c r="C713" s="44" t="s">
        <v>1030</v>
      </c>
      <c r="D713" s="30"/>
      <c r="E713" s="30"/>
      <c r="F713" s="30"/>
      <c r="G713" s="30"/>
      <c r="H713" s="30"/>
    </row>
    <row r="714" spans="2:8" ht="18" customHeight="1" x14ac:dyDescent="0.3">
      <c r="B714" s="27" t="s">
        <v>805</v>
      </c>
      <c r="C714" s="44" t="s">
        <v>1031</v>
      </c>
      <c r="D714" s="30"/>
      <c r="E714" s="30"/>
      <c r="F714" s="30"/>
      <c r="G714" s="30"/>
      <c r="H714" s="30"/>
    </row>
    <row r="715" spans="2:8" ht="18" customHeight="1" x14ac:dyDescent="0.3">
      <c r="B715" s="27" t="s">
        <v>806</v>
      </c>
      <c r="C715" s="44" t="s">
        <v>1032</v>
      </c>
      <c r="D715" s="30"/>
      <c r="E715" s="30"/>
      <c r="F715" s="30"/>
      <c r="G715" s="30"/>
      <c r="H715" s="30"/>
    </row>
    <row r="716" spans="2:8" ht="18" customHeight="1" x14ac:dyDescent="0.3">
      <c r="B716" s="27" t="s">
        <v>807</v>
      </c>
      <c r="C716" s="44" t="s">
        <v>1033</v>
      </c>
      <c r="D716" s="30"/>
      <c r="E716" s="30"/>
      <c r="F716" s="30"/>
      <c r="G716" s="30"/>
      <c r="H716" s="30"/>
    </row>
    <row r="717" spans="2:8" ht="18" customHeight="1" x14ac:dyDescent="0.3">
      <c r="B717" s="27" t="s">
        <v>808</v>
      </c>
      <c r="C717" s="44" t="s">
        <v>830</v>
      </c>
      <c r="D717" s="30"/>
      <c r="E717" s="30"/>
      <c r="F717" s="30"/>
      <c r="G717" s="30"/>
      <c r="H717" s="30"/>
    </row>
    <row r="718" spans="2:8" ht="15.9" customHeight="1" x14ac:dyDescent="0.3">
      <c r="B718" s="43" t="s">
        <v>285</v>
      </c>
      <c r="C718" s="30"/>
      <c r="D718" s="30"/>
      <c r="E718" s="30"/>
      <c r="F718" s="30"/>
      <c r="G718" s="30"/>
      <c r="H718" s="30"/>
    </row>
    <row r="719" spans="2:8" ht="18" customHeight="1" x14ac:dyDescent="0.3">
      <c r="B719" s="27" t="s">
        <v>809</v>
      </c>
      <c r="C719" s="44" t="s">
        <v>1034</v>
      </c>
      <c r="D719" s="30"/>
      <c r="E719" s="30"/>
      <c r="F719" s="30"/>
      <c r="G719" s="30"/>
      <c r="H719" s="30"/>
    </row>
    <row r="720" spans="2:8" ht="18" customHeight="1" x14ac:dyDescent="0.3">
      <c r="B720" s="27" t="s">
        <v>302</v>
      </c>
      <c r="C720" s="44" t="s">
        <v>313</v>
      </c>
      <c r="D720" s="30"/>
      <c r="E720" s="30"/>
      <c r="F720" s="30"/>
      <c r="G720" s="30"/>
      <c r="H720" s="30"/>
    </row>
    <row r="721" spans="1:8" ht="18" customHeight="1" x14ac:dyDescent="0.3">
      <c r="B721" s="27" t="s">
        <v>304</v>
      </c>
      <c r="C721" s="44" t="s">
        <v>1095</v>
      </c>
      <c r="D721" s="30"/>
      <c r="E721" s="30"/>
      <c r="F721" s="30"/>
      <c r="G721" s="30"/>
      <c r="H721" s="30"/>
    </row>
    <row r="724" spans="1:8" ht="21.9" customHeight="1" x14ac:dyDescent="0.3">
      <c r="A724" s="45" t="s">
        <v>1181</v>
      </c>
      <c r="B724" s="30"/>
      <c r="C724" s="30"/>
      <c r="D724" s="30"/>
      <c r="E724" s="30"/>
      <c r="F724" s="30"/>
      <c r="G724" s="30"/>
      <c r="H724" s="30"/>
    </row>
    <row r="726" spans="1:8" ht="15.9" customHeight="1" x14ac:dyDescent="0.3">
      <c r="B726" s="43" t="s">
        <v>3</v>
      </c>
      <c r="C726" s="30"/>
      <c r="D726" s="30"/>
      <c r="E726" s="30"/>
      <c r="F726" s="30"/>
      <c r="G726" s="30"/>
      <c r="H726" s="30"/>
    </row>
    <row r="727" spans="1:8" ht="18" customHeight="1" x14ac:dyDescent="0.3">
      <c r="B727" s="27" t="s">
        <v>286</v>
      </c>
      <c r="C727" s="44" t="s">
        <v>1035</v>
      </c>
      <c r="D727" s="30"/>
      <c r="E727" s="30"/>
      <c r="F727" s="30"/>
      <c r="G727" s="30"/>
      <c r="H727" s="30"/>
    </row>
    <row r="728" spans="1:8" ht="18" customHeight="1" x14ac:dyDescent="0.3">
      <c r="B728" s="27" t="s">
        <v>287</v>
      </c>
      <c r="C728" s="44" t="s">
        <v>1036</v>
      </c>
      <c r="D728" s="30"/>
      <c r="E728" s="30"/>
      <c r="F728" s="30"/>
      <c r="G728" s="30"/>
      <c r="H728" s="30"/>
    </row>
    <row r="729" spans="1:8" ht="18" customHeight="1" x14ac:dyDescent="0.3">
      <c r="B729" s="27" t="s">
        <v>288</v>
      </c>
      <c r="C729" s="44" t="s">
        <v>169</v>
      </c>
      <c r="D729" s="30"/>
      <c r="E729" s="30"/>
      <c r="F729" s="30"/>
      <c r="G729" s="30"/>
      <c r="H729" s="30"/>
    </row>
    <row r="730" spans="1:8" ht="18" customHeight="1" x14ac:dyDescent="0.3">
      <c r="B730" s="27" t="s">
        <v>289</v>
      </c>
      <c r="C730" s="44" t="s">
        <v>1093</v>
      </c>
      <c r="D730" s="30"/>
      <c r="E730" s="30"/>
      <c r="F730" s="30"/>
      <c r="G730" s="30"/>
      <c r="H730" s="30"/>
    </row>
    <row r="731" spans="1:8" ht="18" customHeight="1" x14ac:dyDescent="0.3">
      <c r="B731" s="27" t="s">
        <v>290</v>
      </c>
      <c r="C731" s="44" t="s">
        <v>166</v>
      </c>
      <c r="D731" s="30"/>
      <c r="E731" s="30"/>
      <c r="F731" s="30"/>
      <c r="G731" s="30"/>
      <c r="H731" s="30"/>
    </row>
    <row r="732" spans="1:8" ht="15.9" customHeight="1" x14ac:dyDescent="0.3">
      <c r="B732" s="43" t="s">
        <v>282</v>
      </c>
      <c r="C732" s="30"/>
      <c r="D732" s="30"/>
      <c r="E732" s="30"/>
      <c r="F732" s="30"/>
      <c r="G732" s="30"/>
      <c r="H732" s="30"/>
    </row>
    <row r="733" spans="1:8" ht="30.9" customHeight="1" x14ac:dyDescent="0.3">
      <c r="B733" s="27" t="s">
        <v>291</v>
      </c>
      <c r="C733" s="44" t="s">
        <v>1037</v>
      </c>
      <c r="D733" s="30"/>
      <c r="E733" s="30"/>
      <c r="F733" s="30"/>
      <c r="G733" s="30"/>
      <c r="H733" s="30"/>
    </row>
    <row r="734" spans="1:8" ht="18" customHeight="1" x14ac:dyDescent="0.3">
      <c r="B734" s="27" t="s">
        <v>292</v>
      </c>
      <c r="C734" s="44" t="s">
        <v>943</v>
      </c>
      <c r="D734" s="30"/>
      <c r="E734" s="30"/>
      <c r="F734" s="30"/>
      <c r="G734" s="30"/>
      <c r="H734" s="30"/>
    </row>
    <row r="735" spans="1:8" ht="30.9" customHeight="1" x14ac:dyDescent="0.3">
      <c r="B735" s="27" t="s">
        <v>293</v>
      </c>
      <c r="C735" s="44" t="s">
        <v>1038</v>
      </c>
      <c r="D735" s="30"/>
      <c r="E735" s="30"/>
      <c r="F735" s="30"/>
      <c r="G735" s="30"/>
      <c r="H735" s="30"/>
    </row>
    <row r="736" spans="1:8" ht="15.9" customHeight="1" x14ac:dyDescent="0.3">
      <c r="B736" s="43" t="s">
        <v>283</v>
      </c>
      <c r="C736" s="30"/>
      <c r="D736" s="30"/>
      <c r="E736" s="30"/>
      <c r="F736" s="30"/>
      <c r="G736" s="30"/>
      <c r="H736" s="30"/>
    </row>
    <row r="737" spans="2:8" ht="18" customHeight="1" x14ac:dyDescent="0.3">
      <c r="B737" s="27" t="s">
        <v>802</v>
      </c>
      <c r="C737" s="44" t="s">
        <v>1176</v>
      </c>
      <c r="D737" s="30"/>
      <c r="E737" s="30"/>
      <c r="F737" s="30"/>
      <c r="G737" s="30"/>
      <c r="H737" s="30"/>
    </row>
    <row r="738" spans="2:8" ht="18" customHeight="1" x14ac:dyDescent="0.3">
      <c r="B738" s="27" t="s">
        <v>803</v>
      </c>
      <c r="C738" s="44" t="s">
        <v>1039</v>
      </c>
      <c r="D738" s="30"/>
      <c r="E738" s="30"/>
      <c r="F738" s="30"/>
      <c r="G738" s="30"/>
      <c r="H738" s="30"/>
    </row>
    <row r="739" spans="2:8" ht="18" customHeight="1" x14ac:dyDescent="0.3">
      <c r="B739" s="27" t="s">
        <v>294</v>
      </c>
      <c r="C739" s="44" t="s">
        <v>957</v>
      </c>
      <c r="D739" s="30"/>
      <c r="E739" s="30"/>
      <c r="F739" s="30"/>
      <c r="G739" s="30"/>
      <c r="H739" s="30"/>
    </row>
    <row r="740" spans="2:8" ht="18" customHeight="1" x14ac:dyDescent="0.3">
      <c r="B740" s="27" t="s">
        <v>295</v>
      </c>
      <c r="C740" s="44" t="s">
        <v>958</v>
      </c>
      <c r="D740" s="30"/>
      <c r="E740" s="30"/>
      <c r="F740" s="30"/>
      <c r="G740" s="30"/>
      <c r="H740" s="30"/>
    </row>
    <row r="741" spans="2:8" ht="18" customHeight="1" x14ac:dyDescent="0.3">
      <c r="B741" s="27" t="s">
        <v>296</v>
      </c>
      <c r="C741" s="44" t="s">
        <v>310</v>
      </c>
      <c r="D741" s="30"/>
      <c r="E741" s="30"/>
      <c r="F741" s="30"/>
      <c r="G741" s="30"/>
      <c r="H741" s="30"/>
    </row>
    <row r="742" spans="2:8" ht="15.9" customHeight="1" x14ac:dyDescent="0.3">
      <c r="B742" s="43" t="s">
        <v>801</v>
      </c>
      <c r="C742" s="30"/>
      <c r="D742" s="30"/>
      <c r="E742" s="30"/>
      <c r="F742" s="30"/>
      <c r="G742" s="30"/>
      <c r="H742" s="30"/>
    </row>
    <row r="743" spans="2:8" ht="30.9" customHeight="1" x14ac:dyDescent="0.3">
      <c r="B743" s="27" t="s">
        <v>804</v>
      </c>
      <c r="C743" s="44" t="s">
        <v>1040</v>
      </c>
      <c r="D743" s="30"/>
      <c r="E743" s="30"/>
      <c r="F743" s="30"/>
      <c r="G743" s="30"/>
      <c r="H743" s="30"/>
    </row>
    <row r="744" spans="2:8" ht="18" customHeight="1" x14ac:dyDescent="0.3">
      <c r="B744" s="27" t="s">
        <v>805</v>
      </c>
      <c r="C744" s="44" t="s">
        <v>1041</v>
      </c>
      <c r="D744" s="30"/>
      <c r="E744" s="30"/>
      <c r="F744" s="30"/>
      <c r="G744" s="30"/>
      <c r="H744" s="30"/>
    </row>
    <row r="745" spans="2:8" ht="18" customHeight="1" x14ac:dyDescent="0.3">
      <c r="B745" s="27" t="s">
        <v>806</v>
      </c>
      <c r="C745" s="44" t="s">
        <v>1042</v>
      </c>
      <c r="D745" s="30"/>
      <c r="E745" s="30"/>
      <c r="F745" s="30"/>
      <c r="G745" s="30"/>
      <c r="H745" s="30"/>
    </row>
    <row r="746" spans="2:8" ht="18" customHeight="1" x14ac:dyDescent="0.3">
      <c r="B746" s="27" t="s">
        <v>807</v>
      </c>
      <c r="C746" s="44" t="s">
        <v>1043</v>
      </c>
      <c r="D746" s="30"/>
      <c r="E746" s="30"/>
      <c r="F746" s="30"/>
      <c r="G746" s="30"/>
      <c r="H746" s="30"/>
    </row>
    <row r="747" spans="2:8" ht="18" customHeight="1" x14ac:dyDescent="0.3">
      <c r="B747" s="27" t="s">
        <v>808</v>
      </c>
      <c r="C747" s="44" t="s">
        <v>830</v>
      </c>
      <c r="D747" s="30"/>
      <c r="E747" s="30"/>
      <c r="F747" s="30"/>
      <c r="G747" s="30"/>
      <c r="H747" s="30"/>
    </row>
    <row r="748" spans="2:8" ht="15.9" customHeight="1" x14ac:dyDescent="0.3">
      <c r="B748" s="43" t="s">
        <v>285</v>
      </c>
      <c r="C748" s="30"/>
      <c r="D748" s="30"/>
      <c r="E748" s="30"/>
      <c r="F748" s="30"/>
      <c r="G748" s="30"/>
      <c r="H748" s="30"/>
    </row>
    <row r="749" spans="2:8" ht="18" customHeight="1" x14ac:dyDescent="0.3">
      <c r="B749" s="27" t="s">
        <v>809</v>
      </c>
      <c r="C749" s="44" t="s">
        <v>919</v>
      </c>
      <c r="D749" s="30"/>
      <c r="E749" s="30"/>
      <c r="F749" s="30"/>
      <c r="G749" s="30"/>
      <c r="H749" s="30"/>
    </row>
    <row r="750" spans="2:8" ht="18" customHeight="1" x14ac:dyDescent="0.3">
      <c r="B750" s="27" t="s">
        <v>302</v>
      </c>
      <c r="C750" s="44" t="s">
        <v>313</v>
      </c>
      <c r="D750" s="30"/>
      <c r="E750" s="30"/>
      <c r="F750" s="30"/>
      <c r="G750" s="30"/>
      <c r="H750" s="30"/>
    </row>
    <row r="751" spans="2:8" ht="18" customHeight="1" x14ac:dyDescent="0.3">
      <c r="B751" s="27" t="s">
        <v>304</v>
      </c>
      <c r="C751" s="44" t="s">
        <v>1095</v>
      </c>
      <c r="D751" s="30"/>
      <c r="E751" s="30"/>
      <c r="F751" s="30"/>
      <c r="G751" s="30"/>
      <c r="H751" s="30"/>
    </row>
    <row r="754" spans="1:8" ht="21.9" customHeight="1" x14ac:dyDescent="0.3">
      <c r="A754" s="45" t="s">
        <v>1182</v>
      </c>
      <c r="B754" s="30"/>
      <c r="C754" s="30"/>
      <c r="D754" s="30"/>
      <c r="E754" s="30"/>
      <c r="F754" s="30"/>
      <c r="G754" s="30"/>
      <c r="H754" s="30"/>
    </row>
    <row r="756" spans="1:8" ht="15.9" customHeight="1" x14ac:dyDescent="0.3">
      <c r="B756" s="43" t="s">
        <v>3</v>
      </c>
      <c r="C756" s="30"/>
      <c r="D756" s="30"/>
      <c r="E756" s="30"/>
      <c r="F756" s="30"/>
      <c r="G756" s="30"/>
      <c r="H756" s="30"/>
    </row>
    <row r="757" spans="1:8" ht="18" customHeight="1" x14ac:dyDescent="0.3">
      <c r="B757" s="27" t="s">
        <v>286</v>
      </c>
      <c r="C757" s="44" t="s">
        <v>1044</v>
      </c>
      <c r="D757" s="30"/>
      <c r="E757" s="30"/>
      <c r="F757" s="30"/>
      <c r="G757" s="30"/>
      <c r="H757" s="30"/>
    </row>
    <row r="758" spans="1:8" ht="18" customHeight="1" x14ac:dyDescent="0.3">
      <c r="B758" s="27" t="s">
        <v>287</v>
      </c>
      <c r="C758" s="44" t="s">
        <v>1045</v>
      </c>
      <c r="D758" s="30"/>
      <c r="E758" s="30"/>
      <c r="F758" s="30"/>
      <c r="G758" s="30"/>
      <c r="H758" s="30"/>
    </row>
    <row r="759" spans="1:8" ht="18" customHeight="1" x14ac:dyDescent="0.3">
      <c r="B759" s="27" t="s">
        <v>288</v>
      </c>
      <c r="C759" s="44" t="s">
        <v>169</v>
      </c>
      <c r="D759" s="30"/>
      <c r="E759" s="30"/>
      <c r="F759" s="30"/>
      <c r="G759" s="30"/>
      <c r="H759" s="30"/>
    </row>
    <row r="760" spans="1:8" ht="18" customHeight="1" x14ac:dyDescent="0.3">
      <c r="B760" s="27" t="s">
        <v>289</v>
      </c>
      <c r="C760" s="44" t="s">
        <v>1093</v>
      </c>
      <c r="D760" s="30"/>
      <c r="E760" s="30"/>
      <c r="F760" s="30"/>
      <c r="G760" s="30"/>
      <c r="H760" s="30"/>
    </row>
    <row r="761" spans="1:8" ht="18" customHeight="1" x14ac:dyDescent="0.3">
      <c r="B761" s="27" t="s">
        <v>290</v>
      </c>
      <c r="C761" s="44" t="s">
        <v>166</v>
      </c>
      <c r="D761" s="30"/>
      <c r="E761" s="30"/>
      <c r="F761" s="30"/>
      <c r="G761" s="30"/>
      <c r="H761" s="30"/>
    </row>
    <row r="762" spans="1:8" ht="15.9" customHeight="1" x14ac:dyDescent="0.3">
      <c r="B762" s="43" t="s">
        <v>282</v>
      </c>
      <c r="C762" s="30"/>
      <c r="D762" s="30"/>
      <c r="E762" s="30"/>
      <c r="F762" s="30"/>
      <c r="G762" s="30"/>
      <c r="H762" s="30"/>
    </row>
    <row r="763" spans="1:8" ht="30.9" customHeight="1" x14ac:dyDescent="0.3">
      <c r="B763" s="27" t="s">
        <v>291</v>
      </c>
      <c r="C763" s="44" t="s">
        <v>1046</v>
      </c>
      <c r="D763" s="30"/>
      <c r="E763" s="30"/>
      <c r="F763" s="30"/>
      <c r="G763" s="30"/>
      <c r="H763" s="30"/>
    </row>
    <row r="764" spans="1:8" ht="18" customHeight="1" x14ac:dyDescent="0.3">
      <c r="B764" s="27" t="s">
        <v>292</v>
      </c>
      <c r="C764" s="44" t="s">
        <v>1047</v>
      </c>
      <c r="D764" s="30"/>
      <c r="E764" s="30"/>
      <c r="F764" s="30"/>
      <c r="G764" s="30"/>
      <c r="H764" s="30"/>
    </row>
    <row r="765" spans="1:8" ht="30.9" customHeight="1" x14ac:dyDescent="0.3">
      <c r="B765" s="27" t="s">
        <v>293</v>
      </c>
      <c r="C765" s="44" t="s">
        <v>1048</v>
      </c>
      <c r="D765" s="30"/>
      <c r="E765" s="30"/>
      <c r="F765" s="30"/>
      <c r="G765" s="30"/>
      <c r="H765" s="30"/>
    </row>
    <row r="766" spans="1:8" ht="15.9" customHeight="1" x14ac:dyDescent="0.3">
      <c r="B766" s="43" t="s">
        <v>283</v>
      </c>
      <c r="C766" s="30"/>
      <c r="D766" s="30"/>
      <c r="E766" s="30"/>
      <c r="F766" s="30"/>
      <c r="G766" s="30"/>
      <c r="H766" s="30"/>
    </row>
    <row r="767" spans="1:8" ht="18" customHeight="1" x14ac:dyDescent="0.3">
      <c r="B767" s="27" t="s">
        <v>802</v>
      </c>
      <c r="C767" s="44" t="s">
        <v>1150</v>
      </c>
      <c r="D767" s="30"/>
      <c r="E767" s="30"/>
      <c r="F767" s="30"/>
      <c r="G767" s="30"/>
      <c r="H767" s="30"/>
    </row>
    <row r="768" spans="1:8" ht="18" customHeight="1" x14ac:dyDescent="0.3">
      <c r="B768" s="27" t="s">
        <v>803</v>
      </c>
      <c r="C768" s="44" t="s">
        <v>862</v>
      </c>
      <c r="D768" s="30"/>
      <c r="E768" s="30"/>
      <c r="F768" s="30"/>
      <c r="G768" s="30"/>
      <c r="H768" s="30"/>
    </row>
    <row r="769" spans="1:8" ht="18" customHeight="1" x14ac:dyDescent="0.3">
      <c r="B769" s="27" t="s">
        <v>294</v>
      </c>
      <c r="C769" s="44" t="s">
        <v>308</v>
      </c>
      <c r="D769" s="30"/>
      <c r="E769" s="30"/>
      <c r="F769" s="30"/>
      <c r="G769" s="30"/>
      <c r="H769" s="30"/>
    </row>
    <row r="770" spans="1:8" ht="18" customHeight="1" x14ac:dyDescent="0.3">
      <c r="B770" s="27" t="s">
        <v>295</v>
      </c>
      <c r="C770" s="44" t="s">
        <v>309</v>
      </c>
      <c r="D770" s="30"/>
      <c r="E770" s="30"/>
      <c r="F770" s="30"/>
      <c r="G770" s="30"/>
      <c r="H770" s="30"/>
    </row>
    <row r="771" spans="1:8" ht="18" customHeight="1" x14ac:dyDescent="0.3">
      <c r="B771" s="27" t="s">
        <v>296</v>
      </c>
      <c r="C771" s="44" t="s">
        <v>310</v>
      </c>
      <c r="D771" s="30"/>
      <c r="E771" s="30"/>
      <c r="F771" s="30"/>
      <c r="G771" s="30"/>
      <c r="H771" s="30"/>
    </row>
    <row r="772" spans="1:8" ht="15.9" customHeight="1" x14ac:dyDescent="0.3">
      <c r="B772" s="43" t="s">
        <v>801</v>
      </c>
      <c r="C772" s="30"/>
      <c r="D772" s="30"/>
      <c r="E772" s="30"/>
      <c r="F772" s="30"/>
      <c r="G772" s="30"/>
      <c r="H772" s="30"/>
    </row>
    <row r="773" spans="1:8" ht="30.9" customHeight="1" x14ac:dyDescent="0.3">
      <c r="B773" s="27" t="s">
        <v>804</v>
      </c>
      <c r="C773" s="44" t="s">
        <v>1049</v>
      </c>
      <c r="D773" s="30"/>
      <c r="E773" s="30"/>
      <c r="F773" s="30"/>
      <c r="G773" s="30"/>
      <c r="H773" s="30"/>
    </row>
    <row r="774" spans="1:8" ht="18" customHeight="1" x14ac:dyDescent="0.3">
      <c r="B774" s="27" t="s">
        <v>805</v>
      </c>
      <c r="C774" s="44" t="s">
        <v>838</v>
      </c>
      <c r="D774" s="30"/>
      <c r="E774" s="30"/>
      <c r="F774" s="30"/>
      <c r="G774" s="30"/>
      <c r="H774" s="30"/>
    </row>
    <row r="775" spans="1:8" ht="18" customHeight="1" x14ac:dyDescent="0.3">
      <c r="B775" s="27" t="s">
        <v>806</v>
      </c>
      <c r="C775" s="44" t="s">
        <v>1050</v>
      </c>
      <c r="D775" s="30"/>
      <c r="E775" s="30"/>
      <c r="F775" s="30"/>
      <c r="G775" s="30"/>
      <c r="H775" s="30"/>
    </row>
    <row r="776" spans="1:8" ht="18" customHeight="1" x14ac:dyDescent="0.3">
      <c r="B776" s="27" t="s">
        <v>807</v>
      </c>
      <c r="C776" s="44" t="s">
        <v>1051</v>
      </c>
      <c r="D776" s="30"/>
      <c r="E776" s="30"/>
      <c r="F776" s="30"/>
      <c r="G776" s="30"/>
      <c r="H776" s="30"/>
    </row>
    <row r="777" spans="1:8" ht="18" customHeight="1" x14ac:dyDescent="0.3">
      <c r="B777" s="27" t="s">
        <v>808</v>
      </c>
      <c r="C777" s="44" t="s">
        <v>830</v>
      </c>
      <c r="D777" s="30"/>
      <c r="E777" s="30"/>
      <c r="F777" s="30"/>
      <c r="G777" s="30"/>
      <c r="H777" s="30"/>
    </row>
    <row r="778" spans="1:8" ht="15.9" customHeight="1" x14ac:dyDescent="0.3">
      <c r="B778" s="43" t="s">
        <v>285</v>
      </c>
      <c r="C778" s="30"/>
      <c r="D778" s="30"/>
      <c r="E778" s="30"/>
      <c r="F778" s="30"/>
      <c r="G778" s="30"/>
      <c r="H778" s="30"/>
    </row>
    <row r="779" spans="1:8" ht="18" customHeight="1" x14ac:dyDescent="0.3">
      <c r="B779" s="27" t="s">
        <v>809</v>
      </c>
      <c r="C779" s="44" t="s">
        <v>1052</v>
      </c>
      <c r="D779" s="30"/>
      <c r="E779" s="30"/>
      <c r="F779" s="30"/>
      <c r="G779" s="30"/>
      <c r="H779" s="30"/>
    </row>
    <row r="780" spans="1:8" ht="18" customHeight="1" x14ac:dyDescent="0.3">
      <c r="B780" s="27" t="s">
        <v>302</v>
      </c>
      <c r="C780" s="44" t="s">
        <v>858</v>
      </c>
      <c r="D780" s="30"/>
      <c r="E780" s="30"/>
      <c r="F780" s="30"/>
      <c r="G780" s="30"/>
      <c r="H780" s="30"/>
    </row>
    <row r="781" spans="1:8" ht="18" customHeight="1" x14ac:dyDescent="0.3">
      <c r="B781" s="27" t="s">
        <v>304</v>
      </c>
      <c r="C781" s="44" t="s">
        <v>1095</v>
      </c>
      <c r="D781" s="30"/>
      <c r="E781" s="30"/>
      <c r="F781" s="30"/>
      <c r="G781" s="30"/>
      <c r="H781" s="30"/>
    </row>
    <row r="784" spans="1:8" ht="21.9" customHeight="1" x14ac:dyDescent="0.3">
      <c r="A784" s="45" t="s">
        <v>1183</v>
      </c>
      <c r="B784" s="30"/>
      <c r="C784" s="30"/>
      <c r="D784" s="30"/>
      <c r="E784" s="30"/>
      <c r="F784" s="30"/>
      <c r="G784" s="30"/>
      <c r="H784" s="30"/>
    </row>
    <row r="786" spans="2:8" ht="15.9" customHeight="1" x14ac:dyDescent="0.3">
      <c r="B786" s="43" t="s">
        <v>3</v>
      </c>
      <c r="C786" s="30"/>
      <c r="D786" s="30"/>
      <c r="E786" s="30"/>
      <c r="F786" s="30"/>
      <c r="G786" s="30"/>
      <c r="H786" s="30"/>
    </row>
    <row r="787" spans="2:8" ht="18" customHeight="1" x14ac:dyDescent="0.3">
      <c r="B787" s="27" t="s">
        <v>286</v>
      </c>
      <c r="C787" s="44" t="s">
        <v>1053</v>
      </c>
      <c r="D787" s="30"/>
      <c r="E787" s="30"/>
      <c r="F787" s="30"/>
      <c r="G787" s="30"/>
      <c r="H787" s="30"/>
    </row>
    <row r="788" spans="2:8" ht="18" customHeight="1" x14ac:dyDescent="0.3">
      <c r="B788" s="27" t="s">
        <v>287</v>
      </c>
      <c r="C788" s="44" t="s">
        <v>1054</v>
      </c>
      <c r="D788" s="30"/>
      <c r="E788" s="30"/>
      <c r="F788" s="30"/>
      <c r="G788" s="30"/>
      <c r="H788" s="30"/>
    </row>
    <row r="789" spans="2:8" ht="18" customHeight="1" x14ac:dyDescent="0.3">
      <c r="B789" s="27" t="s">
        <v>288</v>
      </c>
      <c r="C789" s="44" t="s">
        <v>169</v>
      </c>
      <c r="D789" s="30"/>
      <c r="E789" s="30"/>
      <c r="F789" s="30"/>
      <c r="G789" s="30"/>
      <c r="H789" s="30"/>
    </row>
    <row r="790" spans="2:8" ht="18" customHeight="1" x14ac:dyDescent="0.3">
      <c r="B790" s="27" t="s">
        <v>289</v>
      </c>
      <c r="C790" s="44" t="s">
        <v>1093</v>
      </c>
      <c r="D790" s="30"/>
      <c r="E790" s="30"/>
      <c r="F790" s="30"/>
      <c r="G790" s="30"/>
      <c r="H790" s="30"/>
    </row>
    <row r="791" spans="2:8" ht="18" customHeight="1" x14ac:dyDescent="0.3">
      <c r="B791" s="27" t="s">
        <v>290</v>
      </c>
      <c r="C791" s="44" t="s">
        <v>166</v>
      </c>
      <c r="D791" s="30"/>
      <c r="E791" s="30"/>
      <c r="F791" s="30"/>
      <c r="G791" s="30"/>
      <c r="H791" s="30"/>
    </row>
    <row r="792" spans="2:8" ht="15.9" customHeight="1" x14ac:dyDescent="0.3">
      <c r="B792" s="43" t="s">
        <v>282</v>
      </c>
      <c r="C792" s="30"/>
      <c r="D792" s="30"/>
      <c r="E792" s="30"/>
      <c r="F792" s="30"/>
      <c r="G792" s="30"/>
      <c r="H792" s="30"/>
    </row>
    <row r="793" spans="2:8" ht="30.9" customHeight="1" x14ac:dyDescent="0.3">
      <c r="B793" s="27" t="s">
        <v>291</v>
      </c>
      <c r="C793" s="44" t="s">
        <v>1055</v>
      </c>
      <c r="D793" s="30"/>
      <c r="E793" s="30"/>
      <c r="F793" s="30"/>
      <c r="G793" s="30"/>
      <c r="H793" s="30"/>
    </row>
    <row r="794" spans="2:8" ht="18" customHeight="1" x14ac:dyDescent="0.3">
      <c r="B794" s="27" t="s">
        <v>292</v>
      </c>
      <c r="C794" s="44" t="s">
        <v>389</v>
      </c>
      <c r="D794" s="30"/>
      <c r="E794" s="30"/>
      <c r="F794" s="30"/>
      <c r="G794" s="30"/>
      <c r="H794" s="30"/>
    </row>
    <row r="795" spans="2:8" ht="30.9" customHeight="1" x14ac:dyDescent="0.3">
      <c r="B795" s="27" t="s">
        <v>293</v>
      </c>
      <c r="C795" s="44" t="s">
        <v>1056</v>
      </c>
      <c r="D795" s="30"/>
      <c r="E795" s="30"/>
      <c r="F795" s="30"/>
      <c r="G795" s="30"/>
      <c r="H795" s="30"/>
    </row>
    <row r="796" spans="2:8" ht="15.9" customHeight="1" x14ac:dyDescent="0.3">
      <c r="B796" s="43" t="s">
        <v>283</v>
      </c>
      <c r="C796" s="30"/>
      <c r="D796" s="30"/>
      <c r="E796" s="30"/>
      <c r="F796" s="30"/>
      <c r="G796" s="30"/>
      <c r="H796" s="30"/>
    </row>
    <row r="797" spans="2:8" ht="18" customHeight="1" x14ac:dyDescent="0.3">
      <c r="B797" s="27" t="s">
        <v>802</v>
      </c>
      <c r="C797" s="44" t="s">
        <v>1150</v>
      </c>
      <c r="D797" s="30"/>
      <c r="E797" s="30"/>
      <c r="F797" s="30"/>
      <c r="G797" s="30"/>
      <c r="H797" s="30"/>
    </row>
    <row r="798" spans="2:8" ht="18" customHeight="1" x14ac:dyDescent="0.3">
      <c r="B798" s="27" t="s">
        <v>803</v>
      </c>
      <c r="C798" s="44" t="s">
        <v>1057</v>
      </c>
      <c r="D798" s="30"/>
      <c r="E798" s="30"/>
      <c r="F798" s="30"/>
      <c r="G798" s="30"/>
      <c r="H798" s="30"/>
    </row>
    <row r="799" spans="2:8" ht="18" customHeight="1" x14ac:dyDescent="0.3">
      <c r="B799" s="27" t="s">
        <v>294</v>
      </c>
      <c r="C799" s="44" t="s">
        <v>308</v>
      </c>
      <c r="D799" s="30"/>
      <c r="E799" s="30"/>
      <c r="F799" s="30"/>
      <c r="G799" s="30"/>
      <c r="H799" s="30"/>
    </row>
    <row r="800" spans="2:8" ht="18" customHeight="1" x14ac:dyDescent="0.3">
      <c r="B800" s="27" t="s">
        <v>295</v>
      </c>
      <c r="C800" s="44" t="s">
        <v>309</v>
      </c>
      <c r="D800" s="30"/>
      <c r="E800" s="30"/>
      <c r="F800" s="30"/>
      <c r="G800" s="30"/>
      <c r="H800" s="30"/>
    </row>
    <row r="801" spans="1:8" ht="18" customHeight="1" x14ac:dyDescent="0.3">
      <c r="B801" s="27" t="s">
        <v>296</v>
      </c>
      <c r="C801" s="44" t="s">
        <v>310</v>
      </c>
      <c r="D801" s="30"/>
      <c r="E801" s="30"/>
      <c r="F801" s="30"/>
      <c r="G801" s="30"/>
      <c r="H801" s="30"/>
    </row>
    <row r="802" spans="1:8" ht="15.9" customHeight="1" x14ac:dyDescent="0.3">
      <c r="B802" s="43" t="s">
        <v>801</v>
      </c>
      <c r="C802" s="30"/>
      <c r="D802" s="30"/>
      <c r="E802" s="30"/>
      <c r="F802" s="30"/>
      <c r="G802" s="30"/>
      <c r="H802" s="30"/>
    </row>
    <row r="803" spans="1:8" ht="18" customHeight="1" x14ac:dyDescent="0.3">
      <c r="B803" s="27" t="s">
        <v>804</v>
      </c>
      <c r="C803" s="44" t="s">
        <v>1058</v>
      </c>
      <c r="D803" s="30"/>
      <c r="E803" s="30"/>
      <c r="F803" s="30"/>
      <c r="G803" s="30"/>
      <c r="H803" s="30"/>
    </row>
    <row r="804" spans="1:8" ht="18" customHeight="1" x14ac:dyDescent="0.3">
      <c r="B804" s="27" t="s">
        <v>805</v>
      </c>
      <c r="C804" s="44" t="s">
        <v>838</v>
      </c>
      <c r="D804" s="30"/>
      <c r="E804" s="30"/>
      <c r="F804" s="30"/>
      <c r="G804" s="30"/>
      <c r="H804" s="30"/>
    </row>
    <row r="805" spans="1:8" ht="18" customHeight="1" x14ac:dyDescent="0.3">
      <c r="B805" s="27" t="s">
        <v>806</v>
      </c>
      <c r="C805" s="44" t="s">
        <v>1059</v>
      </c>
      <c r="D805" s="30"/>
      <c r="E805" s="30"/>
      <c r="F805" s="30"/>
      <c r="G805" s="30"/>
      <c r="H805" s="30"/>
    </row>
    <row r="806" spans="1:8" ht="30.9" customHeight="1" x14ac:dyDescent="0.3">
      <c r="B806" s="27" t="s">
        <v>807</v>
      </c>
      <c r="C806" s="44" t="s">
        <v>1060</v>
      </c>
      <c r="D806" s="30"/>
      <c r="E806" s="30"/>
      <c r="F806" s="30"/>
      <c r="G806" s="30"/>
      <c r="H806" s="30"/>
    </row>
    <row r="807" spans="1:8" ht="18" customHeight="1" x14ac:dyDescent="0.3">
      <c r="B807" s="27" t="s">
        <v>808</v>
      </c>
      <c r="C807" s="44" t="s">
        <v>830</v>
      </c>
      <c r="D807" s="30"/>
      <c r="E807" s="30"/>
      <c r="F807" s="30"/>
      <c r="G807" s="30"/>
      <c r="H807" s="30"/>
    </row>
    <row r="808" spans="1:8" ht="15.9" customHeight="1" x14ac:dyDescent="0.3">
      <c r="B808" s="43" t="s">
        <v>285</v>
      </c>
      <c r="C808" s="30"/>
      <c r="D808" s="30"/>
      <c r="E808" s="30"/>
      <c r="F808" s="30"/>
      <c r="G808" s="30"/>
      <c r="H808" s="30"/>
    </row>
    <row r="809" spans="1:8" ht="18" customHeight="1" x14ac:dyDescent="0.3">
      <c r="B809" s="27" t="s">
        <v>809</v>
      </c>
      <c r="C809" s="44" t="s">
        <v>1061</v>
      </c>
      <c r="D809" s="30"/>
      <c r="E809" s="30"/>
      <c r="F809" s="30"/>
      <c r="G809" s="30"/>
      <c r="H809" s="30"/>
    </row>
    <row r="810" spans="1:8" ht="18" customHeight="1" x14ac:dyDescent="0.3">
      <c r="B810" s="27" t="s">
        <v>302</v>
      </c>
      <c r="C810" s="44" t="s">
        <v>849</v>
      </c>
      <c r="D810" s="30"/>
      <c r="E810" s="30"/>
      <c r="F810" s="30"/>
      <c r="G810" s="30"/>
      <c r="H810" s="30"/>
    </row>
    <row r="811" spans="1:8" ht="18" customHeight="1" x14ac:dyDescent="0.3">
      <c r="B811" s="27" t="s">
        <v>304</v>
      </c>
      <c r="C811" s="44" t="s">
        <v>1095</v>
      </c>
      <c r="D811" s="30"/>
      <c r="E811" s="30"/>
      <c r="F811" s="30"/>
      <c r="G811" s="30"/>
      <c r="H811" s="30"/>
    </row>
    <row r="814" spans="1:8" ht="21.9" customHeight="1" x14ac:dyDescent="0.3">
      <c r="A814" s="45" t="s">
        <v>1184</v>
      </c>
      <c r="B814" s="30"/>
      <c r="C814" s="30"/>
      <c r="D814" s="30"/>
      <c r="E814" s="30"/>
      <c r="F814" s="30"/>
      <c r="G814" s="30"/>
      <c r="H814" s="30"/>
    </row>
    <row r="816" spans="1:8" ht="15.9" customHeight="1" x14ac:dyDescent="0.3">
      <c r="B816" s="43" t="s">
        <v>3</v>
      </c>
      <c r="C816" s="30"/>
      <c r="D816" s="30"/>
      <c r="E816" s="30"/>
      <c r="F816" s="30"/>
      <c r="G816" s="30"/>
      <c r="H816" s="30"/>
    </row>
    <row r="817" spans="2:8" ht="18" customHeight="1" x14ac:dyDescent="0.3">
      <c r="B817" s="27" t="s">
        <v>286</v>
      </c>
      <c r="C817" s="44" t="s">
        <v>1062</v>
      </c>
      <c r="D817" s="30"/>
      <c r="E817" s="30"/>
      <c r="F817" s="30"/>
      <c r="G817" s="30"/>
      <c r="H817" s="30"/>
    </row>
    <row r="818" spans="2:8" ht="18" customHeight="1" x14ac:dyDescent="0.3">
      <c r="B818" s="27" t="s">
        <v>287</v>
      </c>
      <c r="C818" s="44" t="s">
        <v>1063</v>
      </c>
      <c r="D818" s="30"/>
      <c r="E818" s="30"/>
      <c r="F818" s="30"/>
      <c r="G818" s="30"/>
      <c r="H818" s="30"/>
    </row>
    <row r="819" spans="2:8" ht="18" customHeight="1" x14ac:dyDescent="0.3">
      <c r="B819" s="27" t="s">
        <v>288</v>
      </c>
      <c r="C819" s="44" t="s">
        <v>169</v>
      </c>
      <c r="D819" s="30"/>
      <c r="E819" s="30"/>
      <c r="F819" s="30"/>
      <c r="G819" s="30"/>
      <c r="H819" s="30"/>
    </row>
    <row r="820" spans="2:8" ht="18" customHeight="1" x14ac:dyDescent="0.3">
      <c r="B820" s="27" t="s">
        <v>289</v>
      </c>
      <c r="C820" s="44" t="s">
        <v>1093</v>
      </c>
      <c r="D820" s="30"/>
      <c r="E820" s="30"/>
      <c r="F820" s="30"/>
      <c r="G820" s="30"/>
      <c r="H820" s="30"/>
    </row>
    <row r="821" spans="2:8" ht="18" customHeight="1" x14ac:dyDescent="0.3">
      <c r="B821" s="27" t="s">
        <v>290</v>
      </c>
      <c r="C821" s="44" t="s">
        <v>166</v>
      </c>
      <c r="D821" s="30"/>
      <c r="E821" s="30"/>
      <c r="F821" s="30"/>
      <c r="G821" s="30"/>
      <c r="H821" s="30"/>
    </row>
    <row r="822" spans="2:8" ht="15.9" customHeight="1" x14ac:dyDescent="0.3">
      <c r="B822" s="43" t="s">
        <v>282</v>
      </c>
      <c r="C822" s="30"/>
      <c r="D822" s="30"/>
      <c r="E822" s="30"/>
      <c r="F822" s="30"/>
      <c r="G822" s="30"/>
      <c r="H822" s="30"/>
    </row>
    <row r="823" spans="2:8" ht="30.9" customHeight="1" x14ac:dyDescent="0.3">
      <c r="B823" s="27" t="s">
        <v>291</v>
      </c>
      <c r="C823" s="44" t="s">
        <v>1064</v>
      </c>
      <c r="D823" s="30"/>
      <c r="E823" s="30"/>
      <c r="F823" s="30"/>
      <c r="G823" s="30"/>
      <c r="H823" s="30"/>
    </row>
    <row r="824" spans="2:8" ht="18" customHeight="1" x14ac:dyDescent="0.3">
      <c r="B824" s="27" t="s">
        <v>292</v>
      </c>
      <c r="C824" s="44" t="s">
        <v>934</v>
      </c>
      <c r="D824" s="30"/>
      <c r="E824" s="30"/>
      <c r="F824" s="30"/>
      <c r="G824" s="30"/>
      <c r="H824" s="30"/>
    </row>
    <row r="825" spans="2:8" ht="30.9" customHeight="1" x14ac:dyDescent="0.3">
      <c r="B825" s="27" t="s">
        <v>293</v>
      </c>
      <c r="C825" s="44" t="s">
        <v>1065</v>
      </c>
      <c r="D825" s="30"/>
      <c r="E825" s="30"/>
      <c r="F825" s="30"/>
      <c r="G825" s="30"/>
      <c r="H825" s="30"/>
    </row>
    <row r="826" spans="2:8" ht="15.9" customHeight="1" x14ac:dyDescent="0.3">
      <c r="B826" s="43" t="s">
        <v>283</v>
      </c>
      <c r="C826" s="30"/>
      <c r="D826" s="30"/>
      <c r="E826" s="30"/>
      <c r="F826" s="30"/>
      <c r="G826" s="30"/>
      <c r="H826" s="30"/>
    </row>
    <row r="827" spans="2:8" ht="18" customHeight="1" x14ac:dyDescent="0.3">
      <c r="B827" s="27" t="s">
        <v>802</v>
      </c>
      <c r="C827" s="44" t="s">
        <v>1165</v>
      </c>
      <c r="D827" s="30"/>
      <c r="E827" s="30"/>
      <c r="F827" s="30"/>
      <c r="G827" s="30"/>
      <c r="H827" s="30"/>
    </row>
    <row r="828" spans="2:8" ht="18" customHeight="1" x14ac:dyDescent="0.3">
      <c r="B828" s="27" t="s">
        <v>803</v>
      </c>
      <c r="C828" s="44" t="s">
        <v>925</v>
      </c>
      <c r="D828" s="30"/>
      <c r="E828" s="30"/>
      <c r="F828" s="30"/>
      <c r="G828" s="30"/>
      <c r="H828" s="30"/>
    </row>
    <row r="829" spans="2:8" ht="18" customHeight="1" x14ac:dyDescent="0.3">
      <c r="B829" s="27" t="s">
        <v>294</v>
      </c>
      <c r="C829" s="44" t="s">
        <v>308</v>
      </c>
      <c r="D829" s="30"/>
      <c r="E829" s="30"/>
      <c r="F829" s="30"/>
      <c r="G829" s="30"/>
      <c r="H829" s="30"/>
    </row>
    <row r="830" spans="2:8" ht="18" customHeight="1" x14ac:dyDescent="0.3">
      <c r="B830" s="27" t="s">
        <v>295</v>
      </c>
      <c r="C830" s="44" t="s">
        <v>309</v>
      </c>
      <c r="D830" s="30"/>
      <c r="E830" s="30"/>
      <c r="F830" s="30"/>
      <c r="G830" s="30"/>
      <c r="H830" s="30"/>
    </row>
    <row r="831" spans="2:8" ht="18" customHeight="1" x14ac:dyDescent="0.3">
      <c r="B831" s="27" t="s">
        <v>296</v>
      </c>
      <c r="C831" s="44" t="s">
        <v>310</v>
      </c>
      <c r="D831" s="30"/>
      <c r="E831" s="30"/>
      <c r="F831" s="30"/>
      <c r="G831" s="30"/>
      <c r="H831" s="30"/>
    </row>
    <row r="832" spans="2:8" ht="15.9" customHeight="1" x14ac:dyDescent="0.3">
      <c r="B832" s="43" t="s">
        <v>801</v>
      </c>
      <c r="C832" s="30"/>
      <c r="D832" s="30"/>
      <c r="E832" s="30"/>
      <c r="F832" s="30"/>
      <c r="G832" s="30"/>
      <c r="H832" s="30"/>
    </row>
    <row r="833" spans="1:8" ht="18" customHeight="1" x14ac:dyDescent="0.3">
      <c r="B833" s="27" t="s">
        <v>804</v>
      </c>
      <c r="C833" s="44" t="s">
        <v>1066</v>
      </c>
      <c r="D833" s="30"/>
      <c r="E833" s="30"/>
      <c r="F833" s="30"/>
      <c r="G833" s="30"/>
      <c r="H833" s="30"/>
    </row>
    <row r="834" spans="1:8" ht="18" customHeight="1" x14ac:dyDescent="0.3">
      <c r="B834" s="27" t="s">
        <v>805</v>
      </c>
      <c r="C834" s="44" t="s">
        <v>838</v>
      </c>
      <c r="D834" s="30"/>
      <c r="E834" s="30"/>
      <c r="F834" s="30"/>
      <c r="G834" s="30"/>
      <c r="H834" s="30"/>
    </row>
    <row r="835" spans="1:8" ht="18" customHeight="1" x14ac:dyDescent="0.3">
      <c r="B835" s="27" t="s">
        <v>806</v>
      </c>
      <c r="C835" s="44" t="s">
        <v>1067</v>
      </c>
      <c r="D835" s="30"/>
      <c r="E835" s="30"/>
      <c r="F835" s="30"/>
      <c r="G835" s="30"/>
      <c r="H835" s="30"/>
    </row>
    <row r="836" spans="1:8" ht="18" customHeight="1" x14ac:dyDescent="0.3">
      <c r="B836" s="27" t="s">
        <v>807</v>
      </c>
      <c r="C836" s="44" t="s">
        <v>1068</v>
      </c>
      <c r="D836" s="30"/>
      <c r="E836" s="30"/>
      <c r="F836" s="30"/>
      <c r="G836" s="30"/>
      <c r="H836" s="30"/>
    </row>
    <row r="837" spans="1:8" ht="18" customHeight="1" x14ac:dyDescent="0.3">
      <c r="B837" s="27" t="s">
        <v>808</v>
      </c>
      <c r="C837" s="44" t="s">
        <v>830</v>
      </c>
      <c r="D837" s="30"/>
      <c r="E837" s="30"/>
      <c r="F837" s="30"/>
      <c r="G837" s="30"/>
      <c r="H837" s="30"/>
    </row>
    <row r="838" spans="1:8" ht="15.9" customHeight="1" x14ac:dyDescent="0.3">
      <c r="B838" s="43" t="s">
        <v>285</v>
      </c>
      <c r="C838" s="30"/>
      <c r="D838" s="30"/>
      <c r="E838" s="30"/>
      <c r="F838" s="30"/>
      <c r="G838" s="30"/>
      <c r="H838" s="30"/>
    </row>
    <row r="839" spans="1:8" ht="18" customHeight="1" x14ac:dyDescent="0.3">
      <c r="B839" s="27" t="s">
        <v>809</v>
      </c>
      <c r="C839" s="44" t="s">
        <v>919</v>
      </c>
      <c r="D839" s="30"/>
      <c r="E839" s="30"/>
      <c r="F839" s="30"/>
      <c r="G839" s="30"/>
      <c r="H839" s="30"/>
    </row>
    <row r="840" spans="1:8" ht="18" customHeight="1" x14ac:dyDescent="0.3">
      <c r="B840" s="27" t="s">
        <v>302</v>
      </c>
      <c r="C840" s="44" t="s">
        <v>313</v>
      </c>
      <c r="D840" s="30"/>
      <c r="E840" s="30"/>
      <c r="F840" s="30"/>
      <c r="G840" s="30"/>
      <c r="H840" s="30"/>
    </row>
    <row r="841" spans="1:8" ht="18" customHeight="1" x14ac:dyDescent="0.3">
      <c r="B841" s="27" t="s">
        <v>304</v>
      </c>
      <c r="C841" s="44" t="s">
        <v>1095</v>
      </c>
      <c r="D841" s="30"/>
      <c r="E841" s="30"/>
      <c r="F841" s="30"/>
      <c r="G841" s="30"/>
      <c r="H841" s="30"/>
    </row>
    <row r="844" spans="1:8" ht="21.9" customHeight="1" x14ac:dyDescent="0.3">
      <c r="A844" s="45" t="s">
        <v>1185</v>
      </c>
      <c r="B844" s="30"/>
      <c r="C844" s="30"/>
      <c r="D844" s="30"/>
      <c r="E844" s="30"/>
      <c r="F844" s="30"/>
      <c r="G844" s="30"/>
      <c r="H844" s="30"/>
    </row>
    <row r="846" spans="1:8" ht="15.9" customHeight="1" x14ac:dyDescent="0.3">
      <c r="B846" s="43" t="s">
        <v>3</v>
      </c>
      <c r="C846" s="30"/>
      <c r="D846" s="30"/>
      <c r="E846" s="30"/>
      <c r="F846" s="30"/>
      <c r="G846" s="30"/>
      <c r="H846" s="30"/>
    </row>
    <row r="847" spans="1:8" ht="18" customHeight="1" x14ac:dyDescent="0.3">
      <c r="B847" s="27" t="s">
        <v>286</v>
      </c>
      <c r="C847" s="44" t="s">
        <v>1069</v>
      </c>
      <c r="D847" s="30"/>
      <c r="E847" s="30"/>
      <c r="F847" s="30"/>
      <c r="G847" s="30"/>
      <c r="H847" s="30"/>
    </row>
    <row r="848" spans="1:8" ht="18" customHeight="1" x14ac:dyDescent="0.3">
      <c r="B848" s="27" t="s">
        <v>287</v>
      </c>
      <c r="C848" s="44" t="s">
        <v>1070</v>
      </c>
      <c r="D848" s="30"/>
      <c r="E848" s="30"/>
      <c r="F848" s="30"/>
      <c r="G848" s="30"/>
      <c r="H848" s="30"/>
    </row>
    <row r="849" spans="2:8" ht="18" customHeight="1" x14ac:dyDescent="0.3">
      <c r="B849" s="27" t="s">
        <v>288</v>
      </c>
      <c r="C849" s="44" t="s">
        <v>169</v>
      </c>
      <c r="D849" s="30"/>
      <c r="E849" s="30"/>
      <c r="F849" s="30"/>
      <c r="G849" s="30"/>
      <c r="H849" s="30"/>
    </row>
    <row r="850" spans="2:8" ht="18" customHeight="1" x14ac:dyDescent="0.3">
      <c r="B850" s="27" t="s">
        <v>289</v>
      </c>
      <c r="C850" s="44" t="s">
        <v>1093</v>
      </c>
      <c r="D850" s="30"/>
      <c r="E850" s="30"/>
      <c r="F850" s="30"/>
      <c r="G850" s="30"/>
      <c r="H850" s="30"/>
    </row>
    <row r="851" spans="2:8" ht="18" customHeight="1" x14ac:dyDescent="0.3">
      <c r="B851" s="27" t="s">
        <v>290</v>
      </c>
      <c r="C851" s="44" t="s">
        <v>166</v>
      </c>
      <c r="D851" s="30"/>
      <c r="E851" s="30"/>
      <c r="F851" s="30"/>
      <c r="G851" s="30"/>
      <c r="H851" s="30"/>
    </row>
    <row r="852" spans="2:8" ht="15.9" customHeight="1" x14ac:dyDescent="0.3">
      <c r="B852" s="43" t="s">
        <v>282</v>
      </c>
      <c r="C852" s="30"/>
      <c r="D852" s="30"/>
      <c r="E852" s="30"/>
      <c r="F852" s="30"/>
      <c r="G852" s="30"/>
      <c r="H852" s="30"/>
    </row>
    <row r="853" spans="2:8" ht="30.9" customHeight="1" x14ac:dyDescent="0.3">
      <c r="B853" s="27" t="s">
        <v>291</v>
      </c>
      <c r="C853" s="44" t="s">
        <v>1071</v>
      </c>
      <c r="D853" s="30"/>
      <c r="E853" s="30"/>
      <c r="F853" s="30"/>
      <c r="G853" s="30"/>
      <c r="H853" s="30"/>
    </row>
    <row r="854" spans="2:8" ht="18" customHeight="1" x14ac:dyDescent="0.3">
      <c r="B854" s="27" t="s">
        <v>292</v>
      </c>
      <c r="C854" s="44" t="s">
        <v>1017</v>
      </c>
      <c r="D854" s="30"/>
      <c r="E854" s="30"/>
      <c r="F854" s="30"/>
      <c r="G854" s="30"/>
      <c r="H854" s="30"/>
    </row>
    <row r="855" spans="2:8" ht="30.9" customHeight="1" x14ac:dyDescent="0.3">
      <c r="B855" s="27" t="s">
        <v>293</v>
      </c>
      <c r="C855" s="44" t="s">
        <v>1072</v>
      </c>
      <c r="D855" s="30"/>
      <c r="E855" s="30"/>
      <c r="F855" s="30"/>
      <c r="G855" s="30"/>
      <c r="H855" s="30"/>
    </row>
    <row r="856" spans="2:8" ht="15.9" customHeight="1" x14ac:dyDescent="0.3">
      <c r="B856" s="43" t="s">
        <v>283</v>
      </c>
      <c r="C856" s="30"/>
      <c r="D856" s="30"/>
      <c r="E856" s="30"/>
      <c r="F856" s="30"/>
      <c r="G856" s="30"/>
      <c r="H856" s="30"/>
    </row>
    <row r="857" spans="2:8" ht="18" customHeight="1" x14ac:dyDescent="0.3">
      <c r="B857" s="27" t="s">
        <v>802</v>
      </c>
      <c r="C857" s="44" t="s">
        <v>1173</v>
      </c>
      <c r="D857" s="30"/>
      <c r="E857" s="30"/>
      <c r="F857" s="30"/>
      <c r="G857" s="30"/>
      <c r="H857" s="30"/>
    </row>
    <row r="858" spans="2:8" ht="18" customHeight="1" x14ac:dyDescent="0.3">
      <c r="B858" s="27" t="s">
        <v>803</v>
      </c>
      <c r="C858" s="44" t="s">
        <v>1073</v>
      </c>
      <c r="D858" s="30"/>
      <c r="E858" s="30"/>
      <c r="F858" s="30"/>
      <c r="G858" s="30"/>
      <c r="H858" s="30"/>
    </row>
    <row r="859" spans="2:8" ht="18" customHeight="1" x14ac:dyDescent="0.3">
      <c r="B859" s="27" t="s">
        <v>294</v>
      </c>
      <c r="C859" s="44" t="s">
        <v>347</v>
      </c>
      <c r="D859" s="30"/>
      <c r="E859" s="30"/>
      <c r="F859" s="30"/>
      <c r="G859" s="30"/>
      <c r="H859" s="30"/>
    </row>
    <row r="860" spans="2:8" ht="18" customHeight="1" x14ac:dyDescent="0.3">
      <c r="B860" s="27" t="s">
        <v>295</v>
      </c>
      <c r="C860" s="44" t="s">
        <v>348</v>
      </c>
      <c r="D860" s="30"/>
      <c r="E860" s="30"/>
      <c r="F860" s="30"/>
      <c r="G860" s="30"/>
      <c r="H860" s="30"/>
    </row>
    <row r="861" spans="2:8" ht="18" customHeight="1" x14ac:dyDescent="0.3">
      <c r="B861" s="27" t="s">
        <v>296</v>
      </c>
      <c r="C861" s="44" t="s">
        <v>310</v>
      </c>
      <c r="D861" s="30"/>
      <c r="E861" s="30"/>
      <c r="F861" s="30"/>
      <c r="G861" s="30"/>
      <c r="H861" s="30"/>
    </row>
    <row r="862" spans="2:8" ht="15.9" customHeight="1" x14ac:dyDescent="0.3">
      <c r="B862" s="43" t="s">
        <v>801</v>
      </c>
      <c r="C862" s="30"/>
      <c r="D862" s="30"/>
      <c r="E862" s="30"/>
      <c r="F862" s="30"/>
      <c r="G862" s="30"/>
      <c r="H862" s="30"/>
    </row>
    <row r="863" spans="2:8" ht="30.9" customHeight="1" x14ac:dyDescent="0.3">
      <c r="B863" s="27" t="s">
        <v>804</v>
      </c>
      <c r="C863" s="44" t="s">
        <v>1074</v>
      </c>
      <c r="D863" s="30"/>
      <c r="E863" s="30"/>
      <c r="F863" s="30"/>
      <c r="G863" s="30"/>
      <c r="H863" s="30"/>
    </row>
    <row r="864" spans="2:8" ht="18" customHeight="1" x14ac:dyDescent="0.3">
      <c r="B864" s="27" t="s">
        <v>805</v>
      </c>
      <c r="C864" s="44" t="s">
        <v>816</v>
      </c>
      <c r="D864" s="30"/>
      <c r="E864" s="30"/>
      <c r="F864" s="30"/>
      <c r="G864" s="30"/>
      <c r="H864" s="30"/>
    </row>
    <row r="865" spans="1:8" ht="30.9" customHeight="1" x14ac:dyDescent="0.3">
      <c r="B865" s="27" t="s">
        <v>806</v>
      </c>
      <c r="C865" s="44" t="s">
        <v>1075</v>
      </c>
      <c r="D865" s="30"/>
      <c r="E865" s="30"/>
      <c r="F865" s="30"/>
      <c r="G865" s="30"/>
      <c r="H865" s="30"/>
    </row>
    <row r="866" spans="1:8" ht="18" customHeight="1" x14ac:dyDescent="0.3">
      <c r="B866" s="27" t="s">
        <v>807</v>
      </c>
      <c r="C866" s="44" t="s">
        <v>1076</v>
      </c>
      <c r="D866" s="30"/>
      <c r="E866" s="30"/>
      <c r="F866" s="30"/>
      <c r="G866" s="30"/>
      <c r="H866" s="30"/>
    </row>
    <row r="867" spans="1:8" ht="18" customHeight="1" x14ac:dyDescent="0.3">
      <c r="B867" s="27" t="s">
        <v>808</v>
      </c>
      <c r="C867" s="44" t="s">
        <v>819</v>
      </c>
      <c r="D867" s="30"/>
      <c r="E867" s="30"/>
      <c r="F867" s="30"/>
      <c r="G867" s="30"/>
      <c r="H867" s="30"/>
    </row>
    <row r="868" spans="1:8" ht="15.9" customHeight="1" x14ac:dyDescent="0.3">
      <c r="B868" s="43" t="s">
        <v>285</v>
      </c>
      <c r="C868" s="30"/>
      <c r="D868" s="30"/>
      <c r="E868" s="30"/>
      <c r="F868" s="30"/>
      <c r="G868" s="30"/>
      <c r="H868" s="30"/>
    </row>
    <row r="869" spans="1:8" ht="18" customHeight="1" x14ac:dyDescent="0.3">
      <c r="B869" s="27" t="s">
        <v>809</v>
      </c>
      <c r="C869" s="44" t="s">
        <v>1013</v>
      </c>
      <c r="D869" s="30"/>
      <c r="E869" s="30"/>
      <c r="F869" s="30"/>
      <c r="G869" s="30"/>
      <c r="H869" s="30"/>
    </row>
    <row r="870" spans="1:8" ht="18" customHeight="1" x14ac:dyDescent="0.3">
      <c r="B870" s="27" t="s">
        <v>302</v>
      </c>
      <c r="C870" s="44" t="s">
        <v>1077</v>
      </c>
      <c r="D870" s="30"/>
      <c r="E870" s="30"/>
      <c r="F870" s="30"/>
      <c r="G870" s="30"/>
      <c r="H870" s="30"/>
    </row>
    <row r="871" spans="1:8" ht="18" customHeight="1" x14ac:dyDescent="0.3">
      <c r="B871" s="27" t="s">
        <v>304</v>
      </c>
      <c r="C871" s="44" t="s">
        <v>1095</v>
      </c>
      <c r="D871" s="30"/>
      <c r="E871" s="30"/>
      <c r="F871" s="30"/>
      <c r="G871" s="30"/>
      <c r="H871" s="30"/>
    </row>
    <row r="874" spans="1:8" ht="21.9" customHeight="1" x14ac:dyDescent="0.3">
      <c r="A874" s="45" t="s">
        <v>1186</v>
      </c>
      <c r="B874" s="30"/>
      <c r="C874" s="30"/>
      <c r="D874" s="30"/>
      <c r="E874" s="30"/>
      <c r="F874" s="30"/>
      <c r="G874" s="30"/>
      <c r="H874" s="30"/>
    </row>
    <row r="876" spans="1:8" ht="15.9" customHeight="1" x14ac:dyDescent="0.3">
      <c r="B876" s="43" t="s">
        <v>3</v>
      </c>
      <c r="C876" s="30"/>
      <c r="D876" s="30"/>
      <c r="E876" s="30"/>
      <c r="F876" s="30"/>
      <c r="G876" s="30"/>
      <c r="H876" s="30"/>
    </row>
    <row r="877" spans="1:8" ht="18" customHeight="1" x14ac:dyDescent="0.3">
      <c r="B877" s="27" t="s">
        <v>286</v>
      </c>
      <c r="C877" s="44" t="s">
        <v>1078</v>
      </c>
      <c r="D877" s="30"/>
      <c r="E877" s="30"/>
      <c r="F877" s="30"/>
      <c r="G877" s="30"/>
      <c r="H877" s="30"/>
    </row>
    <row r="878" spans="1:8" ht="18" customHeight="1" x14ac:dyDescent="0.3">
      <c r="B878" s="27" t="s">
        <v>287</v>
      </c>
      <c r="C878" s="44" t="s">
        <v>1079</v>
      </c>
      <c r="D878" s="30"/>
      <c r="E878" s="30"/>
      <c r="F878" s="30"/>
      <c r="G878" s="30"/>
      <c r="H878" s="30"/>
    </row>
    <row r="879" spans="1:8" ht="18" customHeight="1" x14ac:dyDescent="0.3">
      <c r="B879" s="27" t="s">
        <v>288</v>
      </c>
      <c r="C879" s="44" t="s">
        <v>169</v>
      </c>
      <c r="D879" s="30"/>
      <c r="E879" s="30"/>
      <c r="F879" s="30"/>
      <c r="G879" s="30"/>
      <c r="H879" s="30"/>
    </row>
    <row r="880" spans="1:8" ht="18" customHeight="1" x14ac:dyDescent="0.3">
      <c r="B880" s="27" t="s">
        <v>289</v>
      </c>
      <c r="C880" s="44" t="s">
        <v>1093</v>
      </c>
      <c r="D880" s="30"/>
      <c r="E880" s="30"/>
      <c r="F880" s="30"/>
      <c r="G880" s="30"/>
      <c r="H880" s="30"/>
    </row>
    <row r="881" spans="2:8" ht="18" customHeight="1" x14ac:dyDescent="0.3">
      <c r="B881" s="27" t="s">
        <v>290</v>
      </c>
      <c r="C881" s="44" t="s">
        <v>166</v>
      </c>
      <c r="D881" s="30"/>
      <c r="E881" s="30"/>
      <c r="F881" s="30"/>
      <c r="G881" s="30"/>
      <c r="H881" s="30"/>
    </row>
    <row r="882" spans="2:8" ht="15.9" customHeight="1" x14ac:dyDescent="0.3">
      <c r="B882" s="43" t="s">
        <v>282</v>
      </c>
      <c r="C882" s="30"/>
      <c r="D882" s="30"/>
      <c r="E882" s="30"/>
      <c r="F882" s="30"/>
      <c r="G882" s="30"/>
      <c r="H882" s="30"/>
    </row>
    <row r="883" spans="2:8" ht="44.1" customHeight="1" x14ac:dyDescent="0.3">
      <c r="B883" s="27" t="s">
        <v>291</v>
      </c>
      <c r="C883" s="44" t="s">
        <v>1080</v>
      </c>
      <c r="D883" s="30"/>
      <c r="E883" s="30"/>
      <c r="F883" s="30"/>
      <c r="G883" s="30"/>
      <c r="H883" s="30"/>
    </row>
    <row r="884" spans="2:8" ht="18" customHeight="1" x14ac:dyDescent="0.3">
      <c r="B884" s="27" t="s">
        <v>292</v>
      </c>
      <c r="C884" s="44" t="s">
        <v>1081</v>
      </c>
      <c r="D884" s="30"/>
      <c r="E884" s="30"/>
      <c r="F884" s="30"/>
      <c r="G884" s="30"/>
      <c r="H884" s="30"/>
    </row>
    <row r="885" spans="2:8" ht="44.1" customHeight="1" x14ac:dyDescent="0.3">
      <c r="B885" s="27" t="s">
        <v>293</v>
      </c>
      <c r="C885" s="44" t="s">
        <v>1082</v>
      </c>
      <c r="D885" s="30"/>
      <c r="E885" s="30"/>
      <c r="F885" s="30"/>
      <c r="G885" s="30"/>
      <c r="H885" s="30"/>
    </row>
    <row r="886" spans="2:8" ht="15.9" customHeight="1" x14ac:dyDescent="0.3">
      <c r="B886" s="43" t="s">
        <v>283</v>
      </c>
      <c r="C886" s="30"/>
      <c r="D886" s="30"/>
      <c r="E886" s="30"/>
      <c r="F886" s="30"/>
      <c r="G886" s="30"/>
      <c r="H886" s="30"/>
    </row>
    <row r="887" spans="2:8" ht="18" customHeight="1" x14ac:dyDescent="0.3">
      <c r="B887" s="27" t="s">
        <v>802</v>
      </c>
      <c r="C887" s="44" t="s">
        <v>1150</v>
      </c>
      <c r="D887" s="30"/>
      <c r="E887" s="30"/>
      <c r="F887" s="30"/>
      <c r="G887" s="30"/>
      <c r="H887" s="30"/>
    </row>
    <row r="888" spans="2:8" ht="18" customHeight="1" x14ac:dyDescent="0.3">
      <c r="B888" s="27" t="s">
        <v>803</v>
      </c>
      <c r="C888" s="44" t="s">
        <v>814</v>
      </c>
      <c r="D888" s="30"/>
      <c r="E888" s="30"/>
      <c r="F888" s="30"/>
      <c r="G888" s="30"/>
      <c r="H888" s="30"/>
    </row>
    <row r="889" spans="2:8" ht="18" customHeight="1" x14ac:dyDescent="0.3">
      <c r="B889" s="27" t="s">
        <v>294</v>
      </c>
      <c r="C889" s="44" t="s">
        <v>308</v>
      </c>
      <c r="D889" s="30"/>
      <c r="E889" s="30"/>
      <c r="F889" s="30"/>
      <c r="G889" s="30"/>
      <c r="H889" s="30"/>
    </row>
    <row r="890" spans="2:8" ht="18" customHeight="1" x14ac:dyDescent="0.3">
      <c r="B890" s="27" t="s">
        <v>295</v>
      </c>
      <c r="C890" s="44" t="s">
        <v>309</v>
      </c>
      <c r="D890" s="30"/>
      <c r="E890" s="30"/>
      <c r="F890" s="30"/>
      <c r="G890" s="30"/>
      <c r="H890" s="30"/>
    </row>
    <row r="891" spans="2:8" ht="18" customHeight="1" x14ac:dyDescent="0.3">
      <c r="B891" s="27" t="s">
        <v>296</v>
      </c>
      <c r="C891" s="44" t="s">
        <v>310</v>
      </c>
      <c r="D891" s="30"/>
      <c r="E891" s="30"/>
      <c r="F891" s="30"/>
      <c r="G891" s="30"/>
      <c r="H891" s="30"/>
    </row>
    <row r="892" spans="2:8" ht="15.9" customHeight="1" x14ac:dyDescent="0.3">
      <c r="B892" s="43" t="s">
        <v>801</v>
      </c>
      <c r="C892" s="30"/>
      <c r="D892" s="30"/>
      <c r="E892" s="30"/>
      <c r="F892" s="30"/>
      <c r="G892" s="30"/>
      <c r="H892" s="30"/>
    </row>
    <row r="893" spans="2:8" ht="30.9" customHeight="1" x14ac:dyDescent="0.3">
      <c r="B893" s="27" t="s">
        <v>804</v>
      </c>
      <c r="C893" s="44" t="s">
        <v>1083</v>
      </c>
      <c r="D893" s="30"/>
      <c r="E893" s="30"/>
      <c r="F893" s="30"/>
      <c r="G893" s="30"/>
      <c r="H893" s="30"/>
    </row>
    <row r="894" spans="2:8" ht="18" customHeight="1" x14ac:dyDescent="0.3">
      <c r="B894" s="27" t="s">
        <v>805</v>
      </c>
      <c r="C894" s="44" t="s">
        <v>1084</v>
      </c>
      <c r="D894" s="30"/>
      <c r="E894" s="30"/>
      <c r="F894" s="30"/>
      <c r="G894" s="30"/>
      <c r="H894" s="30"/>
    </row>
    <row r="895" spans="2:8" ht="18" customHeight="1" x14ac:dyDescent="0.3">
      <c r="B895" s="27" t="s">
        <v>806</v>
      </c>
      <c r="C895" s="44" t="s">
        <v>1085</v>
      </c>
      <c r="D895" s="30"/>
      <c r="E895" s="30"/>
      <c r="F895" s="30"/>
      <c r="G895" s="30"/>
      <c r="H895" s="30"/>
    </row>
    <row r="896" spans="2:8" ht="18" customHeight="1" x14ac:dyDescent="0.3">
      <c r="B896" s="27" t="s">
        <v>807</v>
      </c>
      <c r="C896" s="44" t="s">
        <v>1086</v>
      </c>
      <c r="D896" s="30"/>
      <c r="E896" s="30"/>
      <c r="F896" s="30"/>
      <c r="G896" s="30"/>
      <c r="H896" s="30"/>
    </row>
    <row r="897" spans="2:8" ht="18" customHeight="1" x14ac:dyDescent="0.3">
      <c r="B897" s="27" t="s">
        <v>808</v>
      </c>
      <c r="C897" s="44" t="s">
        <v>1012</v>
      </c>
      <c r="D897" s="30"/>
      <c r="E897" s="30"/>
      <c r="F897" s="30"/>
      <c r="G897" s="30"/>
      <c r="H897" s="30"/>
    </row>
    <row r="898" spans="2:8" ht="15.9" customHeight="1" x14ac:dyDescent="0.3">
      <c r="B898" s="43" t="s">
        <v>285</v>
      </c>
      <c r="C898" s="30"/>
      <c r="D898" s="30"/>
      <c r="E898" s="30"/>
      <c r="F898" s="30"/>
      <c r="G898" s="30"/>
      <c r="H898" s="30"/>
    </row>
    <row r="899" spans="2:8" ht="18" customHeight="1" x14ac:dyDescent="0.3">
      <c r="B899" s="27" t="s">
        <v>809</v>
      </c>
      <c r="C899" s="44" t="s">
        <v>1087</v>
      </c>
      <c r="D899" s="30"/>
      <c r="E899" s="30"/>
      <c r="F899" s="30"/>
      <c r="G899" s="30"/>
      <c r="H899" s="30"/>
    </row>
    <row r="900" spans="2:8" ht="18" customHeight="1" x14ac:dyDescent="0.3">
      <c r="B900" s="27" t="s">
        <v>302</v>
      </c>
      <c r="C900" s="44" t="s">
        <v>1088</v>
      </c>
      <c r="D900" s="30"/>
      <c r="E900" s="30"/>
      <c r="F900" s="30"/>
      <c r="G900" s="30"/>
      <c r="H900" s="30"/>
    </row>
    <row r="901" spans="2:8" ht="30.9" customHeight="1" x14ac:dyDescent="0.3">
      <c r="B901" s="27" t="s">
        <v>304</v>
      </c>
      <c r="C901" s="44" t="s">
        <v>1089</v>
      </c>
      <c r="D901" s="30"/>
      <c r="E901" s="30"/>
      <c r="F901" s="30"/>
      <c r="G901" s="30"/>
      <c r="H901" s="30"/>
    </row>
  </sheetData>
  <mergeCells count="810">
    <mergeCell ref="C25:H25"/>
    <mergeCell ref="C85:H85"/>
    <mergeCell ref="C389:H389"/>
    <mergeCell ref="C383:H383"/>
    <mergeCell ref="C625:H625"/>
    <mergeCell ref="C717:H717"/>
    <mergeCell ref="C133:H133"/>
    <mergeCell ref="C127:H127"/>
    <mergeCell ref="C594:H594"/>
    <mergeCell ref="C198:H198"/>
    <mergeCell ref="C247:H247"/>
    <mergeCell ref="C29:H29"/>
    <mergeCell ref="C100:H100"/>
    <mergeCell ref="C39:H39"/>
    <mergeCell ref="B42:H42"/>
    <mergeCell ref="C50:H50"/>
    <mergeCell ref="C584:H584"/>
    <mergeCell ref="C236:H236"/>
    <mergeCell ref="C163:H163"/>
    <mergeCell ref="C223:H223"/>
    <mergeCell ref="C158:H158"/>
    <mergeCell ref="A214:H214"/>
    <mergeCell ref="B96:H96"/>
    <mergeCell ref="C264:H264"/>
    <mergeCell ref="C887:H887"/>
    <mergeCell ref="B492:H492"/>
    <mergeCell ref="B292:H292"/>
    <mergeCell ref="C758:H758"/>
    <mergeCell ref="C38:H38"/>
    <mergeCell ref="B58:H58"/>
    <mergeCell ref="B52:H52"/>
    <mergeCell ref="C770:H770"/>
    <mergeCell ref="C650:H650"/>
    <mergeCell ref="C679:H679"/>
    <mergeCell ref="C473:H473"/>
    <mergeCell ref="C777:H777"/>
    <mergeCell ref="C715:H715"/>
    <mergeCell ref="C837:H837"/>
    <mergeCell ref="C850:H850"/>
    <mergeCell ref="A664:H664"/>
    <mergeCell ref="C174:H174"/>
    <mergeCell ref="C410:H410"/>
    <mergeCell ref="C481:H481"/>
    <mergeCell ref="C779:H779"/>
    <mergeCell ref="C189:H189"/>
    <mergeCell ref="C13:H13"/>
    <mergeCell ref="B736:H736"/>
    <mergeCell ref="B592:H592"/>
    <mergeCell ref="C78:H78"/>
    <mergeCell ref="C249:H249"/>
    <mergeCell ref="C314:H314"/>
    <mergeCell ref="C618:H618"/>
    <mergeCell ref="C534:H534"/>
    <mergeCell ref="C338:H338"/>
    <mergeCell ref="B358:H358"/>
    <mergeCell ref="C15:H15"/>
    <mergeCell ref="C599:H599"/>
    <mergeCell ref="C313:H313"/>
    <mergeCell ref="C79:H79"/>
    <mergeCell ref="C73:H73"/>
    <mergeCell ref="C30:H30"/>
    <mergeCell ref="B28:H28"/>
    <mergeCell ref="C54:H54"/>
    <mergeCell ref="C56:H56"/>
    <mergeCell ref="B76:H76"/>
    <mergeCell ref="C181:H181"/>
    <mergeCell ref="C408:H408"/>
    <mergeCell ref="C623:H623"/>
    <mergeCell ref="C479:H479"/>
    <mergeCell ref="C897:H897"/>
    <mergeCell ref="C107:H107"/>
    <mergeCell ref="C378:H378"/>
    <mergeCell ref="C549:H549"/>
    <mergeCell ref="C104:H104"/>
    <mergeCell ref="B892:H892"/>
    <mergeCell ref="C536:H536"/>
    <mergeCell ref="C340:H340"/>
    <mergeCell ref="C707:H707"/>
    <mergeCell ref="C834:H834"/>
    <mergeCell ref="B372:H372"/>
    <mergeCell ref="C413:H413"/>
    <mergeCell ref="C404:H404"/>
    <mergeCell ref="B766:H766"/>
    <mergeCell ref="C379:H379"/>
    <mergeCell ref="C550:H550"/>
    <mergeCell ref="C621:H621"/>
    <mergeCell ref="C615:H615"/>
    <mergeCell ref="C415:H415"/>
    <mergeCell ref="C857:H857"/>
    <mergeCell ref="C713:H713"/>
    <mergeCell ref="C120:H120"/>
    <mergeCell ref="C731:H731"/>
    <mergeCell ref="C110:H110"/>
    <mergeCell ref="C899:H899"/>
    <mergeCell ref="C315:H315"/>
    <mergeCell ref="C171:H171"/>
    <mergeCell ref="C613:H613"/>
    <mergeCell ref="C231:H231"/>
    <mergeCell ref="C407:H407"/>
    <mergeCell ref="C600:H600"/>
    <mergeCell ref="C705:H705"/>
    <mergeCell ref="C121:H121"/>
    <mergeCell ref="C771:H771"/>
    <mergeCell ref="C435:H435"/>
    <mergeCell ref="C720:H720"/>
    <mergeCell ref="C847:H847"/>
    <mergeCell ref="C263:H263"/>
    <mergeCell ref="A424:H424"/>
    <mergeCell ref="C524:H524"/>
    <mergeCell ref="C499:H499"/>
    <mergeCell ref="B852:H852"/>
    <mergeCell ref="C290:H290"/>
    <mergeCell ref="A724:H724"/>
    <mergeCell ref="B762:H762"/>
    <mergeCell ref="B568:H568"/>
    <mergeCell ref="C321:H321"/>
    <mergeCell ref="C146:H146"/>
    <mergeCell ref="C10:H10"/>
    <mergeCell ref="C836:H836"/>
    <mergeCell ref="C173:H173"/>
    <mergeCell ref="C471:H471"/>
    <mergeCell ref="C835:H835"/>
    <mergeCell ref="C900:H900"/>
    <mergeCell ref="B142:H142"/>
    <mergeCell ref="B816:H816"/>
    <mergeCell ref="A124:H124"/>
    <mergeCell ref="C689:H689"/>
    <mergeCell ref="C860:H860"/>
    <mergeCell ref="B442:H442"/>
    <mergeCell ref="C135:H135"/>
    <mergeCell ref="C433:H433"/>
    <mergeCell ref="C700:H700"/>
    <mergeCell ref="C626:H626"/>
    <mergeCell ref="B208:H208"/>
    <mergeCell ref="C420:H420"/>
    <mergeCell ref="C547:H547"/>
    <mergeCell ref="C789:H789"/>
    <mergeCell ref="B882:H882"/>
    <mergeCell ref="C199:H199"/>
    <mergeCell ref="C326:H326"/>
    <mergeCell ref="C497:H497"/>
    <mergeCell ref="C128:H128"/>
    <mergeCell ref="C570:H570"/>
    <mergeCell ref="C741:H741"/>
    <mergeCell ref="C113:H113"/>
    <mergeCell ref="C728:H728"/>
    <mergeCell ref="C200:H200"/>
    <mergeCell ref="C205:H205"/>
    <mergeCell ref="C271:H271"/>
    <mergeCell ref="C265:H265"/>
    <mergeCell ref="C449:H449"/>
    <mergeCell ref="C716:H716"/>
    <mergeCell ref="C520:H520"/>
    <mergeCell ref="C259:H259"/>
    <mergeCell ref="C197:H197"/>
    <mergeCell ref="C134:H134"/>
    <mergeCell ref="B118:H118"/>
    <mergeCell ref="C221:H221"/>
    <mergeCell ref="C463:H463"/>
    <mergeCell ref="C457:H457"/>
    <mergeCell ref="C719:H719"/>
    <mergeCell ref="C458:H458"/>
    <mergeCell ref="C855:H855"/>
    <mergeCell ref="C507:H507"/>
    <mergeCell ref="C563:H563"/>
    <mergeCell ref="B456:H456"/>
    <mergeCell ref="C805:H805"/>
    <mergeCell ref="C44:H44"/>
    <mergeCell ref="C428:H428"/>
    <mergeCell ref="C31:H31"/>
    <mergeCell ref="C80:H80"/>
    <mergeCell ref="C444:H444"/>
    <mergeCell ref="C329:H329"/>
    <mergeCell ref="C129:H129"/>
    <mergeCell ref="A94:H94"/>
    <mergeCell ref="C565:H565"/>
    <mergeCell ref="C807:H807"/>
    <mergeCell ref="A694:H694"/>
    <mergeCell ref="B36:H36"/>
    <mergeCell ref="C60:H60"/>
    <mergeCell ref="C331:H331"/>
    <mergeCell ref="B576:H576"/>
    <mergeCell ref="C347:H347"/>
    <mergeCell ref="B336:H336"/>
    <mergeCell ref="C710:H710"/>
    <mergeCell ref="C49:H49"/>
    <mergeCell ref="C881:H881"/>
    <mergeCell ref="C360:H360"/>
    <mergeCell ref="C91:H91"/>
    <mergeCell ref="B876:H876"/>
    <mergeCell ref="B102:H102"/>
    <mergeCell ref="C647:H647"/>
    <mergeCell ref="C131:H131"/>
    <mergeCell ref="C883:H883"/>
    <mergeCell ref="C739:H739"/>
    <mergeCell ref="B832:H832"/>
    <mergeCell ref="C220:H220"/>
    <mergeCell ref="C714:H714"/>
    <mergeCell ref="C518:H518"/>
    <mergeCell ref="C858:H858"/>
    <mergeCell ref="A574:H574"/>
    <mergeCell ref="C649:H649"/>
    <mergeCell ref="C195:H195"/>
    <mergeCell ref="B598:H598"/>
    <mergeCell ref="B402:H402"/>
    <mergeCell ref="C493:H493"/>
    <mergeCell ref="C431:H431"/>
    <mergeCell ref="A184:H184"/>
    <mergeCell ref="C151:H151"/>
    <mergeCell ref="C284:H284"/>
    <mergeCell ref="A874:H874"/>
    <mergeCell ref="C495:H495"/>
    <mergeCell ref="B756:H756"/>
    <mergeCell ref="C780:H780"/>
    <mergeCell ref="C261:H261"/>
    <mergeCell ref="C117:H117"/>
    <mergeCell ref="C55:H55"/>
    <mergeCell ref="C795:H795"/>
    <mergeCell ref="B316:H316"/>
    <mergeCell ref="C75:H75"/>
    <mergeCell ref="B502:H502"/>
    <mergeCell ref="C596:H596"/>
    <mergeCell ref="B616:H616"/>
    <mergeCell ref="C400:H400"/>
    <mergeCell ref="C571:H571"/>
    <mergeCell ref="B268:H268"/>
    <mergeCell ref="C698:H698"/>
    <mergeCell ref="C869:H869"/>
    <mergeCell ref="C734:H734"/>
    <mergeCell ref="C150:H150"/>
    <mergeCell ref="C660:H660"/>
    <mergeCell ref="C144:H144"/>
    <mergeCell ref="C337:H337"/>
    <mergeCell ref="C806:H806"/>
    <mergeCell ref="C877:H877"/>
    <mergeCell ref="C429:H429"/>
    <mergeCell ref="C871:H871"/>
    <mergeCell ref="C671:H671"/>
    <mergeCell ref="C727:H727"/>
    <mergeCell ref="C414:H414"/>
    <mergeCell ref="C81:H81"/>
    <mergeCell ref="C798:H798"/>
    <mergeCell ref="C339:H339"/>
    <mergeCell ref="C637:H637"/>
    <mergeCell ref="C437:H437"/>
    <mergeCell ref="C686:H686"/>
    <mergeCell ref="C735:H735"/>
    <mergeCell ref="C729:H729"/>
    <mergeCell ref="C145:H145"/>
    <mergeCell ref="C210:H210"/>
    <mergeCell ref="C381:H381"/>
    <mergeCell ref="B642:H642"/>
    <mergeCell ref="B166:H166"/>
    <mergeCell ref="B706:H706"/>
    <mergeCell ref="B352:H352"/>
    <mergeCell ref="C697:H697"/>
    <mergeCell ref="B472:H472"/>
    <mergeCell ref="B466:H466"/>
    <mergeCell ref="C861:H861"/>
    <mergeCell ref="C350:H350"/>
    <mergeCell ref="C521:H521"/>
    <mergeCell ref="C763:H763"/>
    <mergeCell ref="C757:H757"/>
    <mergeCell ref="C300:H300"/>
    <mergeCell ref="C567:H567"/>
    <mergeCell ref="C287:H287"/>
    <mergeCell ref="C803:H803"/>
    <mergeCell ref="B526:H526"/>
    <mergeCell ref="C585:H585"/>
    <mergeCell ref="C523:H523"/>
    <mergeCell ref="C790:H790"/>
    <mergeCell ref="C821:H821"/>
    <mergeCell ref="C498:H498"/>
    <mergeCell ref="C289:H289"/>
    <mergeCell ref="C587:H587"/>
    <mergeCell ref="A754:H754"/>
    <mergeCell ref="B826:H826"/>
    <mergeCell ref="C450:H450"/>
    <mergeCell ref="C643:H643"/>
    <mergeCell ref="B396:H396"/>
    <mergeCell ref="B856:H856"/>
    <mergeCell ref="C820:H820"/>
    <mergeCell ref="C854:H854"/>
    <mergeCell ref="C841:H841"/>
    <mergeCell ref="C620:H620"/>
    <mergeCell ref="C791:H791"/>
    <mergeCell ref="A634:H634"/>
    <mergeCell ref="B846:H846"/>
    <mergeCell ref="B612:H612"/>
    <mergeCell ref="C743:H743"/>
    <mergeCell ref="B562:H562"/>
    <mergeCell ref="C730:H730"/>
    <mergeCell ref="B748:H748"/>
    <mergeCell ref="B606:H606"/>
    <mergeCell ref="C744:H744"/>
    <mergeCell ref="C781:H781"/>
    <mergeCell ref="C880:H880"/>
    <mergeCell ref="C40:H40"/>
    <mergeCell ref="C211:H211"/>
    <mergeCell ref="A304:H304"/>
    <mergeCell ref="C580:H580"/>
    <mergeCell ref="C751:H751"/>
    <mergeCell ref="C811:H811"/>
    <mergeCell ref="B216:H216"/>
    <mergeCell ref="C71:H71"/>
    <mergeCell ref="B772:H772"/>
    <mergeCell ref="C669:H669"/>
    <mergeCell ref="B126:H126"/>
    <mergeCell ref="B522:H522"/>
    <mergeCell ref="C804:H804"/>
    <mergeCell ref="C608:H608"/>
    <mergeCell ref="C160:H160"/>
    <mergeCell ref="C464:H464"/>
    <mergeCell ref="C879:H879"/>
    <mergeCell ref="C539:H539"/>
    <mergeCell ref="C387:H387"/>
    <mergeCell ref="C191:H191"/>
    <mergeCell ref="C685:H685"/>
    <mergeCell ref="B162:H162"/>
    <mergeCell ref="C234:H234"/>
    <mergeCell ref="C8:H8"/>
    <mergeCell ref="B516:H516"/>
    <mergeCell ref="C890:H890"/>
    <mergeCell ref="C371:H371"/>
    <mergeCell ref="B46:H46"/>
    <mergeCell ref="C165:H165"/>
    <mergeCell ref="C529:H529"/>
    <mergeCell ref="B282:H282"/>
    <mergeCell ref="C656:H656"/>
    <mergeCell ref="C765:H765"/>
    <mergeCell ref="C827:H827"/>
    <mergeCell ref="C237:H237"/>
    <mergeCell ref="C308:H308"/>
    <mergeCell ref="C53:H53"/>
    <mergeCell ref="C229:H229"/>
    <mergeCell ref="C351:H351"/>
    <mergeCell ref="C593:H593"/>
    <mergeCell ref="B346:H346"/>
    <mergeCell ref="C829:H829"/>
    <mergeCell ref="C179:H179"/>
    <mergeCell ref="B582:H582"/>
    <mergeCell ref="C68:H68"/>
    <mergeCell ref="C239:H239"/>
    <mergeCell ref="C310:H310"/>
    <mergeCell ref="C893:H893"/>
    <mergeCell ref="C97:H97"/>
    <mergeCell ref="B898:H898"/>
    <mergeCell ref="C384:H384"/>
    <mergeCell ref="C624:H624"/>
    <mergeCell ref="C870:H870"/>
    <mergeCell ref="C255:H255"/>
    <mergeCell ref="B658:H658"/>
    <mergeCell ref="C684:H684"/>
    <mergeCell ref="B406:H406"/>
    <mergeCell ref="C776:H776"/>
    <mergeCell ref="C889:H889"/>
    <mergeCell ref="C416:H416"/>
    <mergeCell ref="C419:H419"/>
    <mergeCell ref="C490:H490"/>
    <mergeCell ref="C235:H235"/>
    <mergeCell ref="C477:H477"/>
    <mergeCell ref="C775:H775"/>
    <mergeCell ref="B838:H838"/>
    <mergeCell ref="C864:H864"/>
    <mergeCell ref="C851:H851"/>
    <mergeCell ref="C801:H801"/>
    <mergeCell ref="C866:H866"/>
    <mergeCell ref="C793:H793"/>
    <mergeCell ref="C21:H21"/>
    <mergeCell ref="C840:H840"/>
    <mergeCell ref="C219:H219"/>
    <mergeCell ref="C23:H23"/>
    <mergeCell ref="C194:H194"/>
    <mergeCell ref="C517:H517"/>
    <mergeCell ref="C759:H759"/>
    <mergeCell ref="C296:H296"/>
    <mergeCell ref="B232:H232"/>
    <mergeCell ref="C740:H740"/>
    <mergeCell ref="C283:H283"/>
    <mergeCell ref="C519:H519"/>
    <mergeCell ref="C690:H690"/>
    <mergeCell ref="C817:H817"/>
    <mergeCell ref="C629:H629"/>
    <mergeCell ref="C800:H800"/>
    <mergeCell ref="A274:H274"/>
    <mergeCell ref="C825:H825"/>
    <mergeCell ref="C787:H787"/>
    <mergeCell ref="A814:H814"/>
    <mergeCell ref="C26:H26"/>
    <mergeCell ref="C349:H349"/>
    <mergeCell ref="C324:H324"/>
    <mergeCell ref="C591:H591"/>
    <mergeCell ref="C18:H18"/>
    <mergeCell ref="C285:H285"/>
    <mergeCell ref="C583:H583"/>
    <mergeCell ref="B822:H822"/>
    <mergeCell ref="C677:H677"/>
    <mergeCell ref="C397:H397"/>
    <mergeCell ref="C74:H74"/>
    <mergeCell ref="B112:H112"/>
    <mergeCell ref="B652:H652"/>
    <mergeCell ref="C309:H309"/>
    <mergeCell ref="C103:H103"/>
    <mergeCell ref="C374:H374"/>
    <mergeCell ref="C230:H230"/>
    <mergeCell ref="B298:H298"/>
    <mergeCell ref="C168:H168"/>
    <mergeCell ref="C401:H401"/>
    <mergeCell ref="C659:H659"/>
    <mergeCell ref="C708:H708"/>
    <mergeCell ref="C89:H89"/>
    <mergeCell ref="C260:H260"/>
    <mergeCell ref="C116:H116"/>
    <mergeCell ref="C527:H527"/>
    <mergeCell ref="C187:H187"/>
    <mergeCell ref="C558:H558"/>
    <mergeCell ref="C9:H9"/>
    <mergeCell ref="C180:H180"/>
    <mergeCell ref="C764:H764"/>
    <mergeCell ref="C830:H830"/>
    <mergeCell ref="C311:H311"/>
    <mergeCell ref="C895:H895"/>
    <mergeCell ref="C167:H167"/>
    <mergeCell ref="C609:H609"/>
    <mergeCell ref="A844:H844"/>
    <mergeCell ref="C87:H87"/>
    <mergeCell ref="C258:H258"/>
    <mergeCell ref="C500:H500"/>
    <mergeCell ref="B732:H732"/>
    <mergeCell ref="C823:H823"/>
    <mergeCell ref="C494:H494"/>
    <mergeCell ref="C627:H627"/>
    <mergeCell ref="C761:H761"/>
    <mergeCell ref="C421:H421"/>
    <mergeCell ref="A514:H514"/>
    <mergeCell ref="C614:H614"/>
    <mergeCell ref="B538:H538"/>
    <mergeCell ref="C24:H24"/>
    <mergeCell ref="C266:H266"/>
    <mergeCell ref="B532:H532"/>
    <mergeCell ref="C901:H901"/>
    <mergeCell ref="C403:H403"/>
    <mergeCell ref="C674:H674"/>
    <mergeCell ref="C474:H474"/>
    <mergeCell ref="C530:H530"/>
    <mergeCell ref="C645:H645"/>
    <mergeCell ref="C601:H601"/>
    <mergeCell ref="C701:H701"/>
    <mergeCell ref="C11:H11"/>
    <mergeCell ref="C169:H169"/>
    <mergeCell ref="C611:H611"/>
    <mergeCell ref="C467:H467"/>
    <mergeCell ref="C703:H703"/>
    <mergeCell ref="B666:H666"/>
    <mergeCell ref="C896:H896"/>
    <mergeCell ref="B16:H16"/>
    <mergeCell ref="C233:H233"/>
    <mergeCell ref="A394:H394"/>
    <mergeCell ref="C469:H469"/>
    <mergeCell ref="C640:H640"/>
    <mergeCell ref="B432:H432"/>
    <mergeCell ref="B382:H382"/>
    <mergeCell ref="B238:H238"/>
    <mergeCell ref="C848:H848"/>
    <mergeCell ref="B6:H6"/>
    <mergeCell ref="C891:H891"/>
    <mergeCell ref="C447:H447"/>
    <mergeCell ref="B418:H418"/>
    <mergeCell ref="C115:H115"/>
    <mergeCell ref="B306:H306"/>
    <mergeCell ref="B718:H718"/>
    <mergeCell ref="B72:H72"/>
    <mergeCell ref="C240:H240"/>
    <mergeCell ref="C411:H411"/>
    <mergeCell ref="C709:H709"/>
    <mergeCell ref="C774:H774"/>
    <mergeCell ref="C19:H19"/>
    <mergeCell ref="C190:H190"/>
    <mergeCell ref="C548:H548"/>
    <mergeCell ref="C37:H37"/>
    <mergeCell ref="C773:H773"/>
    <mergeCell ref="C540:H540"/>
    <mergeCell ref="C711:H711"/>
    <mergeCell ref="C83:H83"/>
    <mergeCell ref="C254:H254"/>
    <mergeCell ref="C248:H248"/>
    <mergeCell ref="B322:H322"/>
    <mergeCell ref="C319:H319"/>
    <mergeCell ref="C14:H14"/>
    <mergeCell ref="B88:H88"/>
    <mergeCell ref="B148:H148"/>
    <mergeCell ref="B82:H82"/>
    <mergeCell ref="B688:H688"/>
    <mergeCell ref="B622:H622"/>
    <mergeCell ref="B682:H682"/>
    <mergeCell ref="C564:H564"/>
    <mergeCell ref="B388:H388"/>
    <mergeCell ref="B448:H448"/>
    <mergeCell ref="B546:H546"/>
    <mergeCell ref="C137:H137"/>
    <mergeCell ref="C330:H330"/>
    <mergeCell ref="C566:H566"/>
    <mergeCell ref="C553:H553"/>
    <mergeCell ref="C201:H201"/>
    <mergeCell ref="C90:H90"/>
    <mergeCell ref="C139:H139"/>
    <mergeCell ref="C503:H503"/>
    <mergeCell ref="C188:H188"/>
    <mergeCell ref="B256:H256"/>
    <mergeCell ref="C630:H630"/>
    <mergeCell ref="C617:H617"/>
    <mergeCell ref="C138:H138"/>
    <mergeCell ref="C27:H27"/>
    <mergeCell ref="C853:H853"/>
    <mergeCell ref="C203:H203"/>
    <mergeCell ref="C119:H119"/>
    <mergeCell ref="C561:H561"/>
    <mergeCell ref="C361:H361"/>
    <mergeCell ref="C865:H865"/>
    <mergeCell ref="C488:H488"/>
    <mergeCell ref="C607:H607"/>
    <mergeCell ref="C327:H327"/>
    <mergeCell ref="A154:H154"/>
    <mergeCell ref="C661:H661"/>
    <mergeCell ref="C788:H788"/>
    <mergeCell ref="C465:H465"/>
    <mergeCell ref="B726:H726"/>
    <mergeCell ref="B136:H136"/>
    <mergeCell ref="C108:H108"/>
    <mergeCell ref="C279:H279"/>
    <mergeCell ref="C819:H819"/>
    <mergeCell ref="C45:H45"/>
    <mergeCell ref="C343:H343"/>
    <mergeCell ref="B436:H436"/>
    <mergeCell ref="C281:H281"/>
    <mergeCell ref="C839:H839"/>
    <mergeCell ref="C20:H20"/>
    <mergeCell ref="C318:H318"/>
    <mergeCell ref="C560:H560"/>
    <mergeCell ref="A34:H34"/>
    <mergeCell ref="C554:H554"/>
    <mergeCell ref="C109:H109"/>
    <mergeCell ref="C47:H47"/>
    <mergeCell ref="C541:H541"/>
    <mergeCell ref="C345:H345"/>
    <mergeCell ref="C84:H84"/>
    <mergeCell ref="C193:H193"/>
    <mergeCell ref="C320:H320"/>
    <mergeCell ref="C491:H491"/>
    <mergeCell ref="C176:H176"/>
    <mergeCell ref="C114:H114"/>
    <mergeCell ref="C356:H356"/>
    <mergeCell ref="B556:H556"/>
    <mergeCell ref="A334:H334"/>
    <mergeCell ref="C257:H257"/>
    <mergeCell ref="C51:H51"/>
    <mergeCell ref="C443:H443"/>
    <mergeCell ref="B156:H156"/>
    <mergeCell ref="C209:H209"/>
    <mergeCell ref="B22:H22"/>
    <mergeCell ref="C794:H794"/>
    <mergeCell ref="B702:H702"/>
    <mergeCell ref="B496:H496"/>
    <mergeCell ref="B742:H742"/>
    <mergeCell ref="C797:H797"/>
    <mergeCell ref="B786:H786"/>
    <mergeCell ref="C747:H747"/>
    <mergeCell ref="C799:H799"/>
    <mergeCell ref="B646:H646"/>
    <mergeCell ref="C670:H670"/>
    <mergeCell ref="C683:H683"/>
    <mergeCell ref="C638:H638"/>
    <mergeCell ref="C687:H687"/>
    <mergeCell ref="C501:H501"/>
    <mergeCell ref="C750:H750"/>
    <mergeCell ref="B696:H696"/>
    <mergeCell ref="C737:H737"/>
    <mergeCell ref="C595:H595"/>
    <mergeCell ref="C555:H555"/>
    <mergeCell ref="C505:H505"/>
    <mergeCell ref="A4:H4"/>
    <mergeCell ref="C375:H375"/>
    <mergeCell ref="C446:H446"/>
    <mergeCell ref="C269:H269"/>
    <mergeCell ref="C440:H440"/>
    <mergeCell ref="C511:H511"/>
    <mergeCell ref="C738:H738"/>
    <mergeCell ref="C489:H489"/>
    <mergeCell ref="C809:H809"/>
    <mergeCell ref="C427:H427"/>
    <mergeCell ref="A454:H454"/>
    <mergeCell ref="C141:H141"/>
    <mergeCell ref="C206:H206"/>
    <mergeCell ref="C377:H377"/>
    <mergeCell ref="C504:H504"/>
    <mergeCell ref="B246:H246"/>
    <mergeCell ref="C143:H143"/>
    <mergeCell ref="C99:H99"/>
    <mergeCell ref="C270:H270"/>
    <mergeCell ref="C441:H441"/>
    <mergeCell ref="C506:H506"/>
    <mergeCell ref="C140:H140"/>
    <mergeCell ref="B676:H676"/>
    <mergeCell ref="C267:H267"/>
    <mergeCell ref="C59:H59"/>
    <mergeCell ref="B462:H462"/>
    <mergeCell ref="C130:H130"/>
    <mergeCell ref="B778:H778"/>
    <mergeCell ref="C885:H885"/>
    <mergeCell ref="C295:H295"/>
    <mergeCell ref="B796:H796"/>
    <mergeCell ref="C409:H409"/>
    <mergeCell ref="C380:H380"/>
    <mergeCell ref="B106:H106"/>
    <mergeCell ref="C651:H651"/>
    <mergeCell ref="C61:H61"/>
    <mergeCell ref="C359:H359"/>
    <mergeCell ref="C159:H159"/>
    <mergeCell ref="B252:H252"/>
    <mergeCell ref="C863:H863"/>
    <mergeCell ref="C769:H769"/>
    <mergeCell ref="B172:H172"/>
    <mergeCell ref="C250:H250"/>
    <mergeCell ref="B196:H196"/>
    <mergeCell ref="B186:H186"/>
    <mergeCell ref="C535:H535"/>
    <mergeCell ref="B628:H628"/>
    <mergeCell ref="C810:H810"/>
    <mergeCell ref="C48:H48"/>
    <mergeCell ref="C430:H430"/>
    <mergeCell ref="C224:H224"/>
    <mergeCell ref="C588:H588"/>
    <mergeCell ref="B366:H366"/>
    <mergeCell ref="C849:H849"/>
    <mergeCell ref="C653:H653"/>
    <mergeCell ref="C824:H824"/>
    <mergeCell ref="B66:H66"/>
    <mergeCell ref="C680:H680"/>
    <mergeCell ref="C557:H557"/>
    <mergeCell ref="C161:H161"/>
    <mergeCell ref="C217:H217"/>
    <mergeCell ref="C655:H655"/>
    <mergeCell ref="B552:H552"/>
    <mergeCell ref="C348:H348"/>
    <mergeCell ref="C434:H434"/>
    <mergeCell ref="C323:H323"/>
    <mergeCell ref="A604:H604"/>
    <mergeCell ref="C390:H390"/>
    <mergeCell ref="C657:H657"/>
    <mergeCell ref="C648:H648"/>
    <mergeCell ref="B328:H328"/>
    <mergeCell ref="B132:H132"/>
    <mergeCell ref="C41:H41"/>
    <mergeCell ref="C510:H510"/>
    <mergeCell ref="C277:H277"/>
    <mergeCell ref="C581:H581"/>
    <mergeCell ref="C746:H746"/>
    <mergeCell ref="C301:H301"/>
    <mergeCell ref="C733:H733"/>
    <mergeCell ref="C537:H537"/>
    <mergeCell ref="B486:H486"/>
    <mergeCell ref="C105:H105"/>
    <mergeCell ref="C43:H43"/>
    <mergeCell ref="C341:H341"/>
    <mergeCell ref="C639:H639"/>
    <mergeCell ref="C439:H439"/>
    <mergeCell ref="C577:H577"/>
    <mergeCell ref="C675:H675"/>
    <mergeCell ref="C207:H207"/>
    <mergeCell ref="C278:H278"/>
    <mergeCell ref="C405:H405"/>
    <mergeCell ref="C370:H370"/>
    <mergeCell ref="C641:H641"/>
    <mergeCell ref="C149:H149"/>
    <mergeCell ref="C385:H385"/>
    <mergeCell ref="C67:H67"/>
    <mergeCell ref="C894:H894"/>
    <mergeCell ref="C888:H888"/>
    <mergeCell ref="C98:H98"/>
    <mergeCell ref="C369:H369"/>
    <mergeCell ref="C225:H225"/>
    <mergeCell ref="C667:H667"/>
    <mergeCell ref="B342:H342"/>
    <mergeCell ref="C461:H461"/>
    <mergeCell ref="C654:H654"/>
    <mergeCell ref="C681:H681"/>
    <mergeCell ref="C368:H368"/>
    <mergeCell ref="C619:H619"/>
    <mergeCell ref="C460:H460"/>
    <mergeCell ref="C227:H227"/>
    <mergeCell ref="C398:H398"/>
    <mergeCell ref="C721:H721"/>
    <mergeCell ref="C525:H525"/>
    <mergeCell ref="B862:H862"/>
    <mergeCell ref="C204:H204"/>
    <mergeCell ref="C438:H438"/>
    <mergeCell ref="C509:H509"/>
    <mergeCell ref="C631:H631"/>
    <mergeCell ref="C569:H569"/>
    <mergeCell ref="B262:H262"/>
    <mergeCell ref="A64:H64"/>
    <mergeCell ref="C164:H164"/>
    <mergeCell ref="C291:H291"/>
    <mergeCell ref="C589:H589"/>
    <mergeCell ref="C760:H760"/>
    <mergeCell ref="C673:H673"/>
    <mergeCell ref="B636:H636"/>
    <mergeCell ref="C251:H251"/>
    <mergeCell ref="C487:H487"/>
    <mergeCell ref="C69:H69"/>
    <mergeCell ref="C367:H367"/>
    <mergeCell ref="C354:H354"/>
    <mergeCell ref="C288:H288"/>
    <mergeCell ref="C459:H459"/>
    <mergeCell ref="C590:H590"/>
    <mergeCell ref="C77:H77"/>
    <mergeCell ref="B276:H276"/>
    <mergeCell ref="B412:H412"/>
    <mergeCell ref="C373:H373"/>
    <mergeCell ref="C177:H177"/>
    <mergeCell ref="C147:H147"/>
    <mergeCell ref="C280:H280"/>
    <mergeCell ref="C218:H218"/>
    <mergeCell ref="C445:H445"/>
    <mergeCell ref="C17:H17"/>
    <mergeCell ref="B792:H792"/>
    <mergeCell ref="C253:H253"/>
    <mergeCell ref="B202:H202"/>
    <mergeCell ref="C551:H551"/>
    <mergeCell ref="C818:H818"/>
    <mergeCell ref="C57:H57"/>
    <mergeCell ref="C355:H355"/>
    <mergeCell ref="C293:H293"/>
    <mergeCell ref="C391:H391"/>
    <mergeCell ref="C317:H317"/>
    <mergeCell ref="C111:H111"/>
    <mergeCell ref="B508:H508"/>
    <mergeCell ref="C578:H578"/>
    <mergeCell ref="C749:H749"/>
    <mergeCell ref="C480:H480"/>
    <mergeCell ref="C86:H86"/>
    <mergeCell ref="C357:H357"/>
    <mergeCell ref="C157:H157"/>
    <mergeCell ref="A244:H244"/>
    <mergeCell ref="C344:H344"/>
    <mergeCell ref="C175:H175"/>
    <mergeCell ref="C691:H691"/>
    <mergeCell ref="B286:H286"/>
    <mergeCell ref="B226:H226"/>
    <mergeCell ref="B478:H478"/>
    <mergeCell ref="B192:H192"/>
    <mergeCell ref="C531:H531"/>
    <mergeCell ref="B222:H222"/>
    <mergeCell ref="C767:H767"/>
    <mergeCell ref="B586:H586"/>
    <mergeCell ref="C668:H668"/>
    <mergeCell ref="C297:H297"/>
    <mergeCell ref="C533:H533"/>
    <mergeCell ref="C704:H704"/>
    <mergeCell ref="C451:H451"/>
    <mergeCell ref="C476:H476"/>
    <mergeCell ref="C353:H353"/>
    <mergeCell ref="B886:H886"/>
    <mergeCell ref="C610:H610"/>
    <mergeCell ref="C228:H228"/>
    <mergeCell ref="C399:H399"/>
    <mergeCell ref="C299:H299"/>
    <mergeCell ref="C470:H470"/>
    <mergeCell ref="A364:H364"/>
    <mergeCell ref="C597:H597"/>
    <mergeCell ref="C768:H768"/>
    <mergeCell ref="C859:H859"/>
    <mergeCell ref="C884:H884"/>
    <mergeCell ref="C878:H878"/>
    <mergeCell ref="C294:H294"/>
    <mergeCell ref="C678:H678"/>
    <mergeCell ref="B672:H672"/>
    <mergeCell ref="C386:H386"/>
    <mergeCell ref="C579:H579"/>
    <mergeCell ref="A544:H544"/>
    <mergeCell ref="C644:H644"/>
    <mergeCell ref="C475:H475"/>
    <mergeCell ref="B712:H712"/>
    <mergeCell ref="B426:H426"/>
    <mergeCell ref="B868:H868"/>
    <mergeCell ref="C867:H867"/>
    <mergeCell ref="C7:H7"/>
    <mergeCell ref="A484:H484"/>
    <mergeCell ref="C833:H833"/>
    <mergeCell ref="C170:H170"/>
    <mergeCell ref="C468:H468"/>
    <mergeCell ref="B802:H802"/>
    <mergeCell ref="C528:H528"/>
    <mergeCell ref="C699:H699"/>
    <mergeCell ref="B12:H12"/>
    <mergeCell ref="C307:H307"/>
    <mergeCell ref="C745:H745"/>
    <mergeCell ref="A784:H784"/>
    <mergeCell ref="C101:H101"/>
    <mergeCell ref="C828:H828"/>
    <mergeCell ref="C559:H559"/>
    <mergeCell ref="B312:H312"/>
    <mergeCell ref="C325:H325"/>
    <mergeCell ref="B376:H376"/>
    <mergeCell ref="C417:H417"/>
    <mergeCell ref="B808:H808"/>
    <mergeCell ref="C831:H831"/>
    <mergeCell ref="C70:H70"/>
    <mergeCell ref="C241:H241"/>
    <mergeCell ref="B178:H178"/>
  </mergeCells>
  <pageMargins left="0.75" right="0.75" top="1" bottom="1" header="0.5" footer="0.5"/>
  <pageSetup orientation="portrait"/>
  <rowBreaks count="30" manualBreakCount="30">
    <brk id="32" max="16383" man="1"/>
    <brk id="62" max="16383" man="1"/>
    <brk id="92" max="16383" man="1"/>
    <brk id="122" max="16383" man="1"/>
    <brk id="152" max="16383" man="1"/>
    <brk id="182" max="16383" man="1"/>
    <brk id="212" max="16383" man="1"/>
    <brk id="242" max="16383" man="1"/>
    <brk id="272" max="16383" man="1"/>
    <brk id="302" max="16383" man="1"/>
    <brk id="332" max="16383" man="1"/>
    <brk id="362" max="16383" man="1"/>
    <brk id="392" max="16383" man="1"/>
    <brk id="422" max="16383" man="1"/>
    <brk id="452" max="16383" man="1"/>
    <brk id="482" max="16383" man="1"/>
    <brk id="512" max="16383" man="1"/>
    <brk id="542" max="16383" man="1"/>
    <brk id="572" max="16383" man="1"/>
    <brk id="602" max="16383" man="1"/>
    <brk id="632" max="16383" man="1"/>
    <brk id="662" max="16383" man="1"/>
    <brk id="692" max="16383" man="1"/>
    <brk id="722" max="16383" man="1"/>
    <brk id="752" max="16383" man="1"/>
    <brk id="782" max="16383" man="1"/>
    <brk id="812" max="16383" man="1"/>
    <brk id="842" max="16383" man="1"/>
    <brk id="872" max="16383" man="1"/>
    <brk id="902"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A107"/>
  <sheetViews>
    <sheetView showGridLines="0" tabSelected="1" topLeftCell="A3" zoomScaleNormal="100" workbookViewId="0">
      <selection activeCell="F11" sqref="F11"/>
    </sheetView>
  </sheetViews>
  <sheetFormatPr baseColWidth="10" defaultColWidth="8.6640625" defaultRowHeight="14.4" x14ac:dyDescent="0.3"/>
  <cols>
    <col min="1" max="1" width="15" customWidth="1"/>
    <col min="2" max="2" width="24" customWidth="1"/>
    <col min="3" max="3" width="32" customWidth="1"/>
    <col min="4" max="4" width="24" customWidth="1"/>
    <col min="5" max="6" width="40" customWidth="1"/>
    <col min="7" max="7" width="56" customWidth="1"/>
    <col min="8" max="8" width="26" customWidth="1"/>
    <col min="9" max="9" width="28" customWidth="1"/>
    <col min="10" max="10" width="17" customWidth="1"/>
    <col min="11" max="11" width="14" customWidth="1"/>
    <col min="12" max="12" width="16" customWidth="1"/>
    <col min="13" max="13" width="17" customWidth="1"/>
    <col min="14" max="14" width="27" customWidth="1"/>
    <col min="15" max="20" width="13" customWidth="1"/>
    <col min="21" max="21" width="14" customWidth="1"/>
    <col min="22" max="26" width="22" customWidth="1"/>
    <col min="27" max="27" width="18" customWidth="1"/>
  </cols>
  <sheetData>
    <row r="1" spans="1:27" ht="25.5" customHeight="1" x14ac:dyDescent="0.3">
      <c r="A1" s="38" t="s">
        <v>174</v>
      </c>
      <c r="B1" s="30"/>
      <c r="C1" s="30"/>
      <c r="D1" s="30"/>
      <c r="E1" s="30"/>
      <c r="F1" s="30"/>
      <c r="G1" s="30"/>
      <c r="H1" s="30"/>
      <c r="I1" s="30"/>
      <c r="J1" s="30"/>
      <c r="K1" s="30"/>
      <c r="L1" s="30"/>
      <c r="M1" s="30"/>
      <c r="N1" s="30"/>
      <c r="O1" s="30"/>
      <c r="P1" s="30"/>
      <c r="Q1" s="30"/>
      <c r="R1" s="30"/>
      <c r="S1" s="30"/>
      <c r="T1" s="30"/>
      <c r="U1" s="30"/>
      <c r="V1" s="30"/>
      <c r="W1" s="30"/>
      <c r="X1" s="30"/>
      <c r="Y1" s="30"/>
      <c r="Z1" s="30"/>
      <c r="AA1" s="30"/>
    </row>
    <row r="2" spans="1:27" ht="15" customHeight="1" x14ac:dyDescent="0.3">
      <c r="A2" s="40" t="s">
        <v>1187</v>
      </c>
      <c r="B2" s="30"/>
      <c r="C2" s="30"/>
      <c r="D2" s="30"/>
      <c r="E2" s="30"/>
      <c r="F2" s="30"/>
      <c r="G2" s="30"/>
      <c r="H2" s="30"/>
      <c r="I2" s="30"/>
      <c r="J2" s="30"/>
      <c r="K2" s="30"/>
      <c r="L2" s="30"/>
      <c r="M2" s="30"/>
      <c r="N2" s="30"/>
      <c r="O2" s="30"/>
      <c r="P2" s="30"/>
      <c r="Q2" s="30"/>
      <c r="R2" s="30"/>
      <c r="S2" s="30"/>
      <c r="T2" s="30"/>
      <c r="U2" s="30"/>
      <c r="V2" s="30"/>
      <c r="W2" s="30"/>
      <c r="X2" s="30"/>
      <c r="Y2" s="30"/>
      <c r="Z2" s="30"/>
      <c r="AA2" s="30"/>
    </row>
    <row r="3" spans="1:27" ht="15.75" customHeight="1" x14ac:dyDescent="0.3">
      <c r="A3" s="42" t="s">
        <v>1188</v>
      </c>
      <c r="B3" s="30"/>
      <c r="C3" s="30"/>
      <c r="D3" s="30"/>
      <c r="E3" s="30"/>
      <c r="F3" s="30"/>
      <c r="G3" s="30"/>
      <c r="H3" s="30"/>
      <c r="I3" s="30"/>
      <c r="J3" s="30"/>
      <c r="K3" s="30"/>
      <c r="L3" s="30"/>
      <c r="M3" s="30"/>
      <c r="N3" s="30"/>
      <c r="O3" s="30"/>
      <c r="P3" s="30"/>
      <c r="Q3" s="30"/>
      <c r="R3" s="30"/>
      <c r="S3" s="30"/>
      <c r="T3" s="30"/>
      <c r="U3" s="30"/>
      <c r="V3" s="30"/>
      <c r="W3" s="30"/>
      <c r="X3" s="30"/>
      <c r="Y3" s="30"/>
      <c r="Z3" s="30"/>
      <c r="AA3" s="30"/>
    </row>
    <row r="4" spans="1:27" ht="6" customHeight="1" x14ac:dyDescent="0.3"/>
    <row r="5" spans="1:27" ht="18" customHeight="1" x14ac:dyDescent="0.3">
      <c r="A5" s="41" t="s">
        <v>3</v>
      </c>
      <c r="B5" s="32"/>
      <c r="C5" s="33"/>
      <c r="D5" s="41" t="s">
        <v>1189</v>
      </c>
      <c r="E5" s="32"/>
      <c r="F5" s="32"/>
      <c r="G5" s="33"/>
      <c r="H5" s="41" t="s">
        <v>1190</v>
      </c>
      <c r="I5" s="33"/>
      <c r="J5" s="41" t="s">
        <v>1191</v>
      </c>
      <c r="K5" s="32"/>
      <c r="L5" s="32"/>
      <c r="M5" s="33"/>
      <c r="N5" s="2" t="s">
        <v>1192</v>
      </c>
      <c r="O5" s="41" t="s">
        <v>1193</v>
      </c>
      <c r="P5" s="32"/>
      <c r="Q5" s="32"/>
      <c r="R5" s="32"/>
      <c r="S5" s="32"/>
      <c r="T5" s="32"/>
      <c r="U5" s="33"/>
      <c r="V5" s="41" t="s">
        <v>1194</v>
      </c>
      <c r="W5" s="32"/>
      <c r="X5" s="32"/>
      <c r="Y5" s="32"/>
      <c r="Z5" s="32"/>
      <c r="AA5" s="33"/>
    </row>
    <row r="6" spans="1:27" ht="33.75" customHeight="1" x14ac:dyDescent="0.3">
      <c r="A6" s="14" t="s">
        <v>6</v>
      </c>
      <c r="B6" s="14" t="s">
        <v>237</v>
      </c>
      <c r="C6" s="14" t="s">
        <v>287</v>
      </c>
      <c r="D6" s="14" t="s">
        <v>1195</v>
      </c>
      <c r="E6" s="14" t="s">
        <v>1196</v>
      </c>
      <c r="F6" s="14" t="s">
        <v>1197</v>
      </c>
      <c r="G6" s="14" t="s">
        <v>1198</v>
      </c>
      <c r="H6" s="14" t="s">
        <v>1199</v>
      </c>
      <c r="I6" s="14" t="s">
        <v>1200</v>
      </c>
      <c r="J6" s="14" t="s">
        <v>294</v>
      </c>
      <c r="K6" s="14" t="s">
        <v>1201</v>
      </c>
      <c r="L6" s="14" t="s">
        <v>1202</v>
      </c>
      <c r="M6" s="14" t="s">
        <v>296</v>
      </c>
      <c r="N6" s="14" t="s">
        <v>1203</v>
      </c>
      <c r="O6" s="14" t="s">
        <v>1204</v>
      </c>
      <c r="P6" s="14" t="s">
        <v>1205</v>
      </c>
      <c r="Q6" s="14" t="s">
        <v>1206</v>
      </c>
      <c r="R6" s="14" t="s">
        <v>1207</v>
      </c>
      <c r="S6" s="14" t="s">
        <v>1208</v>
      </c>
      <c r="T6" s="14" t="s">
        <v>268</v>
      </c>
      <c r="U6" s="14" t="s">
        <v>1209</v>
      </c>
      <c r="V6" s="14" t="str">
        <f>Definición_Terminado!$B$5</f>
        <v>Revisión por pares superada e integración en la rama principal del repositorio (GitHub)</v>
      </c>
      <c r="W6" s="14" t="str">
        <f>Definición_Terminado!$B$6</f>
        <v>Casos del Plan de Pruebas de Software (PPS) asociados a la historia ejecutados con resultado PASS</v>
      </c>
      <c r="X6" s="14" t="str">
        <f>Definición_Terminado!$B$7</f>
        <v>Requisitos funcionales y no funcionales del SRS actualizados según lo implementado en la historia</v>
      </c>
      <c r="Y6" s="14" t="str">
        <f>Definición_Terminado!$B$8</f>
        <v>Historia desplegada y verificada en el entorno de prueba (Docker Compose / máquina virtual de Azure)</v>
      </c>
      <c r="Z6" s="14" t="str">
        <f>Definición_Terminado!$B$9</f>
        <v>Aceptación registrada por el director o la codirectora del proyecto</v>
      </c>
      <c r="AA6" s="14" t="s">
        <v>1210</v>
      </c>
    </row>
    <row r="7" spans="1:27" ht="34.799999999999997" customHeight="1" x14ac:dyDescent="0.3">
      <c r="A7" s="18" t="s">
        <v>13</v>
      </c>
      <c r="B7" s="18" t="s">
        <v>1211</v>
      </c>
      <c r="C7" s="18" t="s">
        <v>1402</v>
      </c>
      <c r="D7" s="18" t="s">
        <v>1212</v>
      </c>
      <c r="E7" s="18" t="s">
        <v>1403</v>
      </c>
      <c r="F7" s="18" t="s">
        <v>1404</v>
      </c>
      <c r="G7" s="20" t="str">
        <f t="shared" ref="G7:G38" si="0">IF($A7="","","Como "&amp;D7&amp;", quiero "&amp;E7&amp;", para "&amp;F7&amp;".")</f>
        <v>Como usuario del sistema (Empleado, Verificador o Administrador), quiero ingresar mi correo y contraseña corporativos, para iniciar el proceso de autenticación y acceder con el rol asignado a mi cuenta.</v>
      </c>
      <c r="H7" s="17" t="s">
        <v>1213</v>
      </c>
      <c r="I7" s="17" t="s">
        <v>1214</v>
      </c>
      <c r="J7" s="17" t="s">
        <v>308</v>
      </c>
      <c r="K7" s="17">
        <v>3</v>
      </c>
      <c r="L7" s="17" t="s">
        <v>1215</v>
      </c>
      <c r="M7" s="17" t="s">
        <v>1216</v>
      </c>
      <c r="N7" s="20">
        <f>IF($A7="","",COUNTIF(Criterios_Gherkin!$A$7:$A$206,$A7))</f>
        <v>2</v>
      </c>
      <c r="O7" s="17" t="s">
        <v>1217</v>
      </c>
      <c r="P7" s="17" t="s">
        <v>1217</v>
      </c>
      <c r="Q7" s="17" t="s">
        <v>1217</v>
      </c>
      <c r="R7" s="17" t="s">
        <v>1217</v>
      </c>
      <c r="S7" s="17" t="s">
        <v>1217</v>
      </c>
      <c r="T7" s="17" t="s">
        <v>1217</v>
      </c>
      <c r="U7" s="20" t="str">
        <f t="shared" ref="U7:U38" si="1">IF($A7="","",IF(COUNTIF($O7:$T7,"Sí")=6,"Sí","No"))</f>
        <v>Sí</v>
      </c>
      <c r="V7" s="17" t="s">
        <v>1218</v>
      </c>
      <c r="W7" s="17" t="s">
        <v>1218</v>
      </c>
      <c r="X7" s="17" t="s">
        <v>1218</v>
      </c>
      <c r="Y7" s="17" t="s">
        <v>1218</v>
      </c>
      <c r="Z7" s="17" t="s">
        <v>1218</v>
      </c>
      <c r="AA7" s="20" t="str">
        <f t="shared" ref="AA7:AA38" si="2">IF($A7="","",IF(COUNTIF($V7:$Z7,"Sí")=5,"Sí","No"))</f>
        <v>No</v>
      </c>
    </row>
    <row r="8" spans="1:27" ht="30" customHeight="1" x14ac:dyDescent="0.3">
      <c r="A8" s="18" t="s">
        <v>24</v>
      </c>
      <c r="B8" s="18" t="s">
        <v>1211</v>
      </c>
      <c r="C8" s="18" t="s">
        <v>1219</v>
      </c>
      <c r="D8" s="18" t="s">
        <v>1220</v>
      </c>
      <c r="E8" s="18" t="s">
        <v>1221</v>
      </c>
      <c r="F8" s="18" t="s">
        <v>1222</v>
      </c>
      <c r="G8" s="20" t="str">
        <f t="shared" si="0"/>
        <v>Como usuario del sistema, quiero validar un token de segundo factor enviado a mi correo corporativo y que el sistema confirme mi rol, para acceder de forma segura únicamente a las funcionalidades autorizadas para mi rol.</v>
      </c>
      <c r="H8" s="18" t="s">
        <v>1223</v>
      </c>
      <c r="I8" s="18" t="s">
        <v>1224</v>
      </c>
      <c r="J8" s="18" t="s">
        <v>308</v>
      </c>
      <c r="K8" s="18">
        <v>5</v>
      </c>
      <c r="L8" s="18" t="s">
        <v>1215</v>
      </c>
      <c r="M8" s="18" t="s">
        <v>1216</v>
      </c>
      <c r="N8" s="20">
        <f>IF($A8="","",COUNTIF(Criterios_Gherkin!$A$7:$A$206,$A8))</f>
        <v>2</v>
      </c>
      <c r="O8" s="18" t="s">
        <v>1218</v>
      </c>
      <c r="P8" s="18" t="s">
        <v>1217</v>
      </c>
      <c r="Q8" s="18" t="s">
        <v>1217</v>
      </c>
      <c r="R8" s="18" t="s">
        <v>1217</v>
      </c>
      <c r="S8" s="18" t="s">
        <v>1217</v>
      </c>
      <c r="T8" s="18" t="s">
        <v>1217</v>
      </c>
      <c r="U8" s="20" t="str">
        <f t="shared" si="1"/>
        <v>No</v>
      </c>
      <c r="V8" s="18" t="s">
        <v>1218</v>
      </c>
      <c r="W8" s="18" t="s">
        <v>1218</v>
      </c>
      <c r="X8" s="18" t="s">
        <v>1218</v>
      </c>
      <c r="Y8" s="18" t="s">
        <v>1218</v>
      </c>
      <c r="Z8" s="18" t="s">
        <v>1218</v>
      </c>
      <c r="AA8" s="20" t="str">
        <f t="shared" si="2"/>
        <v>No</v>
      </c>
    </row>
    <row r="9" spans="1:27" ht="30" customHeight="1" x14ac:dyDescent="0.3">
      <c r="A9" s="18" t="s">
        <v>29</v>
      </c>
      <c r="B9" s="18" t="s">
        <v>1211</v>
      </c>
      <c r="C9" s="18" t="s">
        <v>1225</v>
      </c>
      <c r="D9" s="18" t="s">
        <v>1226</v>
      </c>
      <c r="E9" s="18" t="s">
        <v>1227</v>
      </c>
      <c r="F9" s="18" t="s">
        <v>1228</v>
      </c>
      <c r="G9" s="20" t="str">
        <f t="shared" si="0"/>
        <v>Como usuario autenticado, quiero cerrar mi sesión de forma segura, para evitar que alguien más use mi sesión activa desde el mismo equipo.</v>
      </c>
      <c r="H9" s="18" t="s">
        <v>355</v>
      </c>
      <c r="I9" s="18" t="s">
        <v>1229</v>
      </c>
      <c r="J9" s="18" t="s">
        <v>308</v>
      </c>
      <c r="K9" s="18">
        <v>1</v>
      </c>
      <c r="L9" s="18" t="s">
        <v>1215</v>
      </c>
      <c r="M9" s="18" t="s">
        <v>1216</v>
      </c>
      <c r="N9" s="20">
        <f>IF($A9="","",COUNTIF(Criterios_Gherkin!$A$7:$A$206,$A9))</f>
        <v>2</v>
      </c>
      <c r="O9" s="18" t="s">
        <v>1218</v>
      </c>
      <c r="P9" s="18" t="s">
        <v>1217</v>
      </c>
      <c r="Q9" s="18" t="s">
        <v>1217</v>
      </c>
      <c r="R9" s="18" t="s">
        <v>1217</v>
      </c>
      <c r="S9" s="18" t="s">
        <v>1217</v>
      </c>
      <c r="T9" s="18" t="s">
        <v>1217</v>
      </c>
      <c r="U9" s="20" t="str">
        <f t="shared" si="1"/>
        <v>No</v>
      </c>
      <c r="V9" s="18" t="s">
        <v>1218</v>
      </c>
      <c r="W9" s="18" t="s">
        <v>1218</v>
      </c>
      <c r="X9" s="18" t="s">
        <v>1218</v>
      </c>
      <c r="Y9" s="18" t="s">
        <v>1218</v>
      </c>
      <c r="Z9" s="18" t="s">
        <v>1218</v>
      </c>
      <c r="AA9" s="20" t="str">
        <f t="shared" si="2"/>
        <v>No</v>
      </c>
    </row>
    <row r="10" spans="1:27" ht="30" customHeight="1" x14ac:dyDescent="0.3">
      <c r="A10" s="18" t="s">
        <v>36</v>
      </c>
      <c r="B10" s="18" t="s">
        <v>1211</v>
      </c>
      <c r="C10" s="18" t="s">
        <v>780</v>
      </c>
      <c r="D10" s="18" t="s">
        <v>1226</v>
      </c>
      <c r="E10" s="18" t="s">
        <v>1230</v>
      </c>
      <c r="F10" s="18" t="s">
        <v>1231</v>
      </c>
      <c r="G10" s="20" t="str">
        <f t="shared" si="0"/>
        <v>Como usuario autenticado, quiero cambiar mi contraseña ingresando la actual y la nueva, para mantener segura mi cuenta sin depender del administrador.</v>
      </c>
      <c r="H10" s="18" t="s">
        <v>1232</v>
      </c>
      <c r="I10" s="18" t="s">
        <v>1233</v>
      </c>
      <c r="J10" s="18" t="s">
        <v>347</v>
      </c>
      <c r="K10" s="18">
        <v>2</v>
      </c>
      <c r="L10" s="18" t="s">
        <v>1215</v>
      </c>
      <c r="M10" s="18" t="s">
        <v>1216</v>
      </c>
      <c r="N10" s="20">
        <f>IF($A10="","",COUNTIF(Criterios_Gherkin!$A$7:$A$206,$A10))</f>
        <v>2</v>
      </c>
      <c r="O10" s="18" t="s">
        <v>1218</v>
      </c>
      <c r="P10" s="18" t="s">
        <v>1217</v>
      </c>
      <c r="Q10" s="18" t="s">
        <v>1217</v>
      </c>
      <c r="R10" s="18" t="s">
        <v>1217</v>
      </c>
      <c r="S10" s="18" t="s">
        <v>1217</v>
      </c>
      <c r="T10" s="18" t="s">
        <v>1217</v>
      </c>
      <c r="U10" s="20" t="str">
        <f t="shared" si="1"/>
        <v>No</v>
      </c>
      <c r="V10" s="18" t="s">
        <v>1218</v>
      </c>
      <c r="W10" s="18" t="s">
        <v>1218</v>
      </c>
      <c r="X10" s="18" t="s">
        <v>1218</v>
      </c>
      <c r="Y10" s="18" t="s">
        <v>1218</v>
      </c>
      <c r="Z10" s="18" t="s">
        <v>1218</v>
      </c>
      <c r="AA10" s="20" t="str">
        <f t="shared" si="2"/>
        <v>No</v>
      </c>
    </row>
    <row r="11" spans="1:27" ht="30" customHeight="1" x14ac:dyDescent="0.3">
      <c r="A11" s="18" t="s">
        <v>43</v>
      </c>
      <c r="B11" s="18" t="s">
        <v>1234</v>
      </c>
      <c r="C11" s="18" t="s">
        <v>1235</v>
      </c>
      <c r="D11" s="18" t="s">
        <v>460</v>
      </c>
      <c r="E11" s="18" t="s">
        <v>1236</v>
      </c>
      <c r="F11" s="18" t="s">
        <v>1237</v>
      </c>
      <c r="G11" s="20" t="str">
        <f t="shared" si="0"/>
        <v>Como Empleado, quiero cargar un documento contractual en PDF de máximo 20 MB, para iniciar su registro y la generación de evidencia de integridad.</v>
      </c>
      <c r="H11" s="18" t="s">
        <v>1238</v>
      </c>
      <c r="I11" s="18" t="s">
        <v>1239</v>
      </c>
      <c r="J11" s="18" t="s">
        <v>308</v>
      </c>
      <c r="K11" s="18">
        <v>5</v>
      </c>
      <c r="L11" s="18" t="s">
        <v>1240</v>
      </c>
      <c r="M11" s="18" t="s">
        <v>1216</v>
      </c>
      <c r="N11" s="20">
        <f>IF($A11="","",COUNTIF(Criterios_Gherkin!$A$7:$A$206,$A11))</f>
        <v>2</v>
      </c>
      <c r="O11" s="18" t="s">
        <v>1218</v>
      </c>
      <c r="P11" s="18" t="s">
        <v>1217</v>
      </c>
      <c r="Q11" s="18" t="s">
        <v>1217</v>
      </c>
      <c r="R11" s="18" t="s">
        <v>1217</v>
      </c>
      <c r="S11" s="18" t="s">
        <v>1217</v>
      </c>
      <c r="T11" s="18" t="s">
        <v>1217</v>
      </c>
      <c r="U11" s="20" t="str">
        <f t="shared" si="1"/>
        <v>No</v>
      </c>
      <c r="V11" s="18" t="s">
        <v>1218</v>
      </c>
      <c r="W11" s="18" t="s">
        <v>1218</v>
      </c>
      <c r="X11" s="18" t="s">
        <v>1218</v>
      </c>
      <c r="Y11" s="18" t="s">
        <v>1218</v>
      </c>
      <c r="Z11" s="18" t="s">
        <v>1218</v>
      </c>
      <c r="AA11" s="20" t="str">
        <f t="shared" si="2"/>
        <v>No</v>
      </c>
    </row>
    <row r="12" spans="1:27" ht="30" customHeight="1" x14ac:dyDescent="0.3">
      <c r="A12" s="18" t="s">
        <v>50</v>
      </c>
      <c r="B12" s="18" t="s">
        <v>1234</v>
      </c>
      <c r="C12" s="18" t="s">
        <v>1241</v>
      </c>
      <c r="D12" s="18" t="s">
        <v>460</v>
      </c>
      <c r="E12" s="18" t="s">
        <v>1242</v>
      </c>
      <c r="F12" s="18" t="s">
        <v>1243</v>
      </c>
      <c r="G12" s="20" t="str">
        <f t="shared" si="0"/>
        <v>Como Empleado, quiero que el sistema registre los metadatos de mi documento y calcule automáticamente su huella SHA-256, para contar con evidencia de integridad desde el momento del registro.</v>
      </c>
      <c r="H12" s="18" t="s">
        <v>1244</v>
      </c>
      <c r="I12" s="18" t="s">
        <v>1245</v>
      </c>
      <c r="J12" s="18" t="s">
        <v>308</v>
      </c>
      <c r="K12" s="18">
        <v>8</v>
      </c>
      <c r="L12" s="18" t="s">
        <v>1240</v>
      </c>
      <c r="M12" s="18" t="s">
        <v>1216</v>
      </c>
      <c r="N12" s="20">
        <f>IF($A12="","",COUNTIF(Criterios_Gherkin!$A$7:$A$206,$A12))</f>
        <v>2</v>
      </c>
      <c r="O12" s="18" t="s">
        <v>1218</v>
      </c>
      <c r="P12" s="18" t="s">
        <v>1217</v>
      </c>
      <c r="Q12" s="18" t="s">
        <v>1217</v>
      </c>
      <c r="R12" s="18" t="s">
        <v>1217</v>
      </c>
      <c r="S12" s="18" t="s">
        <v>1218</v>
      </c>
      <c r="T12" s="18" t="s">
        <v>1217</v>
      </c>
      <c r="U12" s="20" t="str">
        <f t="shared" si="1"/>
        <v>No</v>
      </c>
      <c r="V12" s="18" t="s">
        <v>1218</v>
      </c>
      <c r="W12" s="18" t="s">
        <v>1218</v>
      </c>
      <c r="X12" s="18" t="s">
        <v>1218</v>
      </c>
      <c r="Y12" s="18" t="s">
        <v>1218</v>
      </c>
      <c r="Z12" s="18" t="s">
        <v>1218</v>
      </c>
      <c r="AA12" s="20" t="str">
        <f t="shared" si="2"/>
        <v>No</v>
      </c>
    </row>
    <row r="13" spans="1:27" ht="30" customHeight="1" x14ac:dyDescent="0.3">
      <c r="A13" s="18" t="s">
        <v>57</v>
      </c>
      <c r="B13" s="18" t="s">
        <v>1234</v>
      </c>
      <c r="C13" s="18" t="s">
        <v>1246</v>
      </c>
      <c r="D13" s="18" t="s">
        <v>460</v>
      </c>
      <c r="E13" s="18" t="s">
        <v>1247</v>
      </c>
      <c r="F13" s="18" t="s">
        <v>1248</v>
      </c>
      <c r="G13" s="20" t="str">
        <f t="shared" si="0"/>
        <v>Como Empleado, quiero que la huella de mi documento quede registrada en la red Hyperledger Fabric y reciba confirmación, para tener evidencia inmutable de integridad sin que se exponga el contenido del documento.</v>
      </c>
      <c r="H13" s="18" t="s">
        <v>1249</v>
      </c>
      <c r="I13" s="18" t="s">
        <v>1250</v>
      </c>
      <c r="J13" s="18" t="s">
        <v>308</v>
      </c>
      <c r="K13" s="18">
        <v>8</v>
      </c>
      <c r="L13" s="18" t="s">
        <v>1240</v>
      </c>
      <c r="M13" s="18" t="s">
        <v>1216</v>
      </c>
      <c r="N13" s="20">
        <f>IF($A13="","",COUNTIF(Criterios_Gherkin!$A$7:$A$206,$A13))</f>
        <v>2</v>
      </c>
      <c r="O13" s="18" t="s">
        <v>1218</v>
      </c>
      <c r="P13" s="18" t="s">
        <v>1217</v>
      </c>
      <c r="Q13" s="18" t="s">
        <v>1217</v>
      </c>
      <c r="R13" s="18" t="s">
        <v>1217</v>
      </c>
      <c r="S13" s="18" t="s">
        <v>1218</v>
      </c>
      <c r="T13" s="18" t="s">
        <v>1217</v>
      </c>
      <c r="U13" s="20" t="str">
        <f t="shared" si="1"/>
        <v>No</v>
      </c>
      <c r="V13" s="18" t="s">
        <v>1218</v>
      </c>
      <c r="W13" s="18" t="s">
        <v>1218</v>
      </c>
      <c r="X13" s="18" t="s">
        <v>1218</v>
      </c>
      <c r="Y13" s="18" t="s">
        <v>1218</v>
      </c>
      <c r="Z13" s="18" t="s">
        <v>1218</v>
      </c>
      <c r="AA13" s="20" t="str">
        <f t="shared" si="2"/>
        <v>No</v>
      </c>
    </row>
    <row r="14" spans="1:27" ht="30" customHeight="1" x14ac:dyDescent="0.3">
      <c r="A14" s="18" t="s">
        <v>64</v>
      </c>
      <c r="B14" s="18" t="s">
        <v>1234</v>
      </c>
      <c r="C14" s="18" t="s">
        <v>1251</v>
      </c>
      <c r="D14" s="18" t="s">
        <v>460</v>
      </c>
      <c r="E14" s="18" t="s">
        <v>1252</v>
      </c>
      <c r="F14" s="18" t="s">
        <v>1253</v>
      </c>
      <c r="G14" s="20" t="str">
        <f t="shared" si="0"/>
        <v>Como Empleado, quiero consultar el listado de los documentos que he registrado con su estado actual, para hacer seguimiento a mis contratos sin depender de otro canal.</v>
      </c>
      <c r="H14" s="18" t="s">
        <v>1254</v>
      </c>
      <c r="I14" s="18" t="s">
        <v>1255</v>
      </c>
      <c r="J14" s="18" t="s">
        <v>308</v>
      </c>
      <c r="K14" s="18">
        <v>3</v>
      </c>
      <c r="L14" s="18" t="s">
        <v>1256</v>
      </c>
      <c r="M14" s="18" t="s">
        <v>1216</v>
      </c>
      <c r="N14" s="20">
        <f>IF($A14="","",COUNTIF(Criterios_Gherkin!$A$7:$A$206,$A14))</f>
        <v>2</v>
      </c>
      <c r="O14" s="18" t="s">
        <v>1218</v>
      </c>
      <c r="P14" s="18" t="s">
        <v>1217</v>
      </c>
      <c r="Q14" s="18" t="s">
        <v>1217</v>
      </c>
      <c r="R14" s="18" t="s">
        <v>1217</v>
      </c>
      <c r="S14" s="18" t="s">
        <v>1217</v>
      </c>
      <c r="T14" s="18" t="s">
        <v>1217</v>
      </c>
      <c r="U14" s="20" t="str">
        <f t="shared" si="1"/>
        <v>No</v>
      </c>
      <c r="V14" s="18" t="s">
        <v>1218</v>
      </c>
      <c r="W14" s="18" t="s">
        <v>1218</v>
      </c>
      <c r="X14" s="18" t="s">
        <v>1218</v>
      </c>
      <c r="Y14" s="18" t="s">
        <v>1218</v>
      </c>
      <c r="Z14" s="18" t="s">
        <v>1218</v>
      </c>
      <c r="AA14" s="20" t="str">
        <f t="shared" si="2"/>
        <v>No</v>
      </c>
    </row>
    <row r="15" spans="1:27" ht="30" customHeight="1" x14ac:dyDescent="0.3">
      <c r="A15" s="18" t="s">
        <v>71</v>
      </c>
      <c r="B15" s="18" t="s">
        <v>1234</v>
      </c>
      <c r="C15" s="18" t="s">
        <v>1257</v>
      </c>
      <c r="D15" s="18" t="s">
        <v>460</v>
      </c>
      <c r="E15" s="18" t="s">
        <v>1258</v>
      </c>
      <c r="F15" s="18" t="s">
        <v>1259</v>
      </c>
      <c r="G15" s="20" t="str">
        <f t="shared" si="0"/>
        <v>Como Empleado, quiero consultar el historial de acciones registradas sobre mis documentos, para verificar qué ocurrió con cada uno y cuándo.</v>
      </c>
      <c r="H15" s="18" t="s">
        <v>1260</v>
      </c>
      <c r="I15" s="18" t="s">
        <v>1261</v>
      </c>
      <c r="J15" s="18" t="s">
        <v>308</v>
      </c>
      <c r="K15" s="18">
        <v>5</v>
      </c>
      <c r="L15" s="18" t="s">
        <v>1256</v>
      </c>
      <c r="M15" s="18" t="s">
        <v>1216</v>
      </c>
      <c r="N15" s="20">
        <f>IF($A15="","",COUNTIF(Criterios_Gherkin!$A$7:$A$206,$A15))</f>
        <v>2</v>
      </c>
      <c r="O15" s="18" t="s">
        <v>1218</v>
      </c>
      <c r="P15" s="18" t="s">
        <v>1217</v>
      </c>
      <c r="Q15" s="18" t="s">
        <v>1217</v>
      </c>
      <c r="R15" s="18" t="s">
        <v>1217</v>
      </c>
      <c r="S15" s="18" t="s">
        <v>1217</v>
      </c>
      <c r="T15" s="18" t="s">
        <v>1217</v>
      </c>
      <c r="U15" s="20" t="str">
        <f t="shared" si="1"/>
        <v>No</v>
      </c>
      <c r="V15" s="18" t="s">
        <v>1218</v>
      </c>
      <c r="W15" s="18" t="s">
        <v>1218</v>
      </c>
      <c r="X15" s="18" t="s">
        <v>1218</v>
      </c>
      <c r="Y15" s="18" t="s">
        <v>1218</v>
      </c>
      <c r="Z15" s="18" t="s">
        <v>1218</v>
      </c>
      <c r="AA15" s="20" t="str">
        <f t="shared" si="2"/>
        <v>No</v>
      </c>
    </row>
    <row r="16" spans="1:27" ht="30" customHeight="1" x14ac:dyDescent="0.3">
      <c r="A16" s="18" t="s">
        <v>78</v>
      </c>
      <c r="B16" s="18" t="s">
        <v>1262</v>
      </c>
      <c r="C16" s="18" t="s">
        <v>1263</v>
      </c>
      <c r="D16" s="18" t="s">
        <v>529</v>
      </c>
      <c r="E16" s="18" t="s">
        <v>1264</v>
      </c>
      <c r="F16" s="18" t="s">
        <v>1265</v>
      </c>
      <c r="G16" s="20" t="str">
        <f t="shared" si="0"/>
        <v>Como Verificador, quiero seleccionar un documento previamente registrado en el sistema, para iniciar su proceso de verificación de integridad.</v>
      </c>
      <c r="H16" s="18" t="s">
        <v>1266</v>
      </c>
      <c r="I16" s="18"/>
      <c r="J16" s="18" t="s">
        <v>308</v>
      </c>
      <c r="K16" s="18">
        <v>3</v>
      </c>
      <c r="L16" s="18" t="s">
        <v>1267</v>
      </c>
      <c r="M16" s="18" t="s">
        <v>1216</v>
      </c>
      <c r="N16" s="20">
        <f>IF($A16="","",COUNTIF(Criterios_Gherkin!$A$7:$A$206,$A16))</f>
        <v>2</v>
      </c>
      <c r="O16" s="18" t="s">
        <v>1218</v>
      </c>
      <c r="P16" s="18" t="s">
        <v>1217</v>
      </c>
      <c r="Q16" s="18" t="s">
        <v>1217</v>
      </c>
      <c r="R16" s="18" t="s">
        <v>1217</v>
      </c>
      <c r="S16" s="18" t="s">
        <v>1217</v>
      </c>
      <c r="T16" s="18" t="s">
        <v>1217</v>
      </c>
      <c r="U16" s="20" t="str">
        <f t="shared" si="1"/>
        <v>No</v>
      </c>
      <c r="V16" s="18" t="s">
        <v>1218</v>
      </c>
      <c r="W16" s="18" t="s">
        <v>1218</v>
      </c>
      <c r="X16" s="18" t="s">
        <v>1218</v>
      </c>
      <c r="Y16" s="18" t="s">
        <v>1218</v>
      </c>
      <c r="Z16" s="18" t="s">
        <v>1218</v>
      </c>
      <c r="AA16" s="20" t="str">
        <f t="shared" si="2"/>
        <v>No</v>
      </c>
    </row>
    <row r="17" spans="1:27" ht="30" customHeight="1" x14ac:dyDescent="0.3">
      <c r="A17" s="18" t="s">
        <v>85</v>
      </c>
      <c r="B17" s="18" t="s">
        <v>1262</v>
      </c>
      <c r="C17" s="18" t="s">
        <v>1268</v>
      </c>
      <c r="D17" s="18" t="s">
        <v>529</v>
      </c>
      <c r="E17" s="18" t="s">
        <v>1269</v>
      </c>
      <c r="F17" s="18" t="s">
        <v>1270</v>
      </c>
      <c r="G17" s="20" t="str">
        <f t="shared" si="0"/>
        <v>Como Verificador, quiero consultar la huella criptográfica registrada del documento seleccionado, para contar con la evidencia base de comparación, respetando las restricciones de acceso por rol.</v>
      </c>
      <c r="H17" s="18" t="s">
        <v>1271</v>
      </c>
      <c r="I17" s="18" t="s">
        <v>1272</v>
      </c>
      <c r="J17" s="18" t="s">
        <v>308</v>
      </c>
      <c r="K17" s="18">
        <v>3</v>
      </c>
      <c r="L17" s="18" t="s">
        <v>1267</v>
      </c>
      <c r="M17" s="18" t="s">
        <v>1216</v>
      </c>
      <c r="N17" s="20">
        <f>IF($A17="","",COUNTIF(Criterios_Gherkin!$A$7:$A$206,$A17))</f>
        <v>2</v>
      </c>
      <c r="O17" s="18" t="s">
        <v>1218</v>
      </c>
      <c r="P17" s="18" t="s">
        <v>1217</v>
      </c>
      <c r="Q17" s="18" t="s">
        <v>1217</v>
      </c>
      <c r="R17" s="18" t="s">
        <v>1217</v>
      </c>
      <c r="S17" s="18" t="s">
        <v>1217</v>
      </c>
      <c r="T17" s="18" t="s">
        <v>1217</v>
      </c>
      <c r="U17" s="20" t="str">
        <f t="shared" si="1"/>
        <v>No</v>
      </c>
      <c r="V17" s="18" t="s">
        <v>1218</v>
      </c>
      <c r="W17" s="18" t="s">
        <v>1218</v>
      </c>
      <c r="X17" s="18" t="s">
        <v>1218</v>
      </c>
      <c r="Y17" s="18" t="s">
        <v>1218</v>
      </c>
      <c r="Z17" s="18" t="s">
        <v>1218</v>
      </c>
      <c r="AA17" s="20" t="str">
        <f t="shared" si="2"/>
        <v>No</v>
      </c>
    </row>
    <row r="18" spans="1:27" ht="30" customHeight="1" x14ac:dyDescent="0.3">
      <c r="A18" s="18" t="s">
        <v>91</v>
      </c>
      <c r="B18" s="18" t="s">
        <v>1262</v>
      </c>
      <c r="C18" s="18" t="s">
        <v>1273</v>
      </c>
      <c r="D18" s="18" t="s">
        <v>529</v>
      </c>
      <c r="E18" s="18" t="s">
        <v>1274</v>
      </c>
      <c r="F18" s="18" t="s">
        <v>1275</v>
      </c>
      <c r="G18" s="20" t="str">
        <f t="shared" si="0"/>
        <v>Como Verificador, quiero cargar el documento PDF que se comparará con la versión registrada, para generar la huella con la que se hará la verificación.</v>
      </c>
      <c r="H18" s="18" t="s">
        <v>1276</v>
      </c>
      <c r="I18" s="18" t="s">
        <v>1239</v>
      </c>
      <c r="J18" s="18" t="s">
        <v>308</v>
      </c>
      <c r="K18" s="18">
        <v>3</v>
      </c>
      <c r="L18" s="18" t="s">
        <v>1267</v>
      </c>
      <c r="M18" s="18" t="s">
        <v>1216</v>
      </c>
      <c r="N18" s="20">
        <f>IF($A18="","",COUNTIF(Criterios_Gherkin!$A$7:$A$206,$A18))</f>
        <v>2</v>
      </c>
      <c r="O18" s="18" t="s">
        <v>1218</v>
      </c>
      <c r="P18" s="18" t="s">
        <v>1217</v>
      </c>
      <c r="Q18" s="18" t="s">
        <v>1217</v>
      </c>
      <c r="R18" s="18" t="s">
        <v>1217</v>
      </c>
      <c r="S18" s="18" t="s">
        <v>1217</v>
      </c>
      <c r="T18" s="18" t="s">
        <v>1217</v>
      </c>
      <c r="U18" s="20" t="str">
        <f t="shared" si="1"/>
        <v>No</v>
      </c>
      <c r="V18" s="18" t="s">
        <v>1218</v>
      </c>
      <c r="W18" s="18" t="s">
        <v>1218</v>
      </c>
      <c r="X18" s="18" t="s">
        <v>1218</v>
      </c>
      <c r="Y18" s="18" t="s">
        <v>1218</v>
      </c>
      <c r="Z18" s="18" t="s">
        <v>1218</v>
      </c>
      <c r="AA18" s="20" t="str">
        <f t="shared" si="2"/>
        <v>No</v>
      </c>
    </row>
    <row r="19" spans="1:27" ht="30" customHeight="1" x14ac:dyDescent="0.3">
      <c r="A19" s="18" t="s">
        <v>98</v>
      </c>
      <c r="B19" s="18" t="s">
        <v>1262</v>
      </c>
      <c r="C19" s="18" t="s">
        <v>1277</v>
      </c>
      <c r="D19" s="18" t="s">
        <v>529</v>
      </c>
      <c r="E19" s="18" t="s">
        <v>1278</v>
      </c>
      <c r="F19" s="18" t="s">
        <v>1279</v>
      </c>
      <c r="G19" s="20" t="str">
        <f t="shared" si="0"/>
        <v>Como Verificador, quiero que el sistema calcule la huella del documento cargado y la compare con la huella registrada, para confirmar si la integridad del documento se mantiene o fue comprometida.</v>
      </c>
      <c r="H19" s="18" t="s">
        <v>1280</v>
      </c>
      <c r="I19" s="18" t="s">
        <v>1281</v>
      </c>
      <c r="J19" s="18" t="s">
        <v>308</v>
      </c>
      <c r="K19" s="18">
        <v>8</v>
      </c>
      <c r="L19" s="18" t="s">
        <v>1267</v>
      </c>
      <c r="M19" s="18" t="s">
        <v>1216</v>
      </c>
      <c r="N19" s="20">
        <f>IF($A19="","",COUNTIF(Criterios_Gherkin!$A$7:$A$206,$A19))</f>
        <v>2</v>
      </c>
      <c r="O19" s="18" t="s">
        <v>1218</v>
      </c>
      <c r="P19" s="18" t="s">
        <v>1217</v>
      </c>
      <c r="Q19" s="18" t="s">
        <v>1217</v>
      </c>
      <c r="R19" s="18" t="s">
        <v>1217</v>
      </c>
      <c r="S19" s="18" t="s">
        <v>1218</v>
      </c>
      <c r="T19" s="18" t="s">
        <v>1217</v>
      </c>
      <c r="U19" s="20" t="str">
        <f t="shared" si="1"/>
        <v>No</v>
      </c>
      <c r="V19" s="18" t="s">
        <v>1218</v>
      </c>
      <c r="W19" s="18" t="s">
        <v>1218</v>
      </c>
      <c r="X19" s="18" t="s">
        <v>1218</v>
      </c>
      <c r="Y19" s="18" t="s">
        <v>1218</v>
      </c>
      <c r="Z19" s="18" t="s">
        <v>1218</v>
      </c>
      <c r="AA19" s="20" t="str">
        <f t="shared" si="2"/>
        <v>No</v>
      </c>
    </row>
    <row r="20" spans="1:27" ht="30" customHeight="1" x14ac:dyDescent="0.3">
      <c r="A20" s="18" t="s">
        <v>104</v>
      </c>
      <c r="B20" s="18" t="s">
        <v>1262</v>
      </c>
      <c r="C20" s="18" t="s">
        <v>1282</v>
      </c>
      <c r="D20" s="18" t="s">
        <v>529</v>
      </c>
      <c r="E20" s="18" t="s">
        <v>1283</v>
      </c>
      <c r="F20" s="18" t="s">
        <v>1284</v>
      </c>
      <c r="G20" s="20" t="str">
        <f t="shared" si="0"/>
        <v>Como Verificador, quiero que el resultado de la verificación actualice el estado del documento y quede registrado en el ledger, para dejar evidencia auditable de cada verificación realizada, con opción de iniciar una nueva.</v>
      </c>
      <c r="H20" s="18" t="s">
        <v>1285</v>
      </c>
      <c r="I20" s="18" t="s">
        <v>1286</v>
      </c>
      <c r="J20" s="18" t="s">
        <v>308</v>
      </c>
      <c r="K20" s="18">
        <v>5</v>
      </c>
      <c r="L20" s="18" t="s">
        <v>1267</v>
      </c>
      <c r="M20" s="18" t="s">
        <v>1216</v>
      </c>
      <c r="N20" s="20">
        <f>IF($A20="","",COUNTIF(Criterios_Gherkin!$A$7:$A$206,$A20))</f>
        <v>2</v>
      </c>
      <c r="O20" s="18" t="s">
        <v>1218</v>
      </c>
      <c r="P20" s="18" t="s">
        <v>1217</v>
      </c>
      <c r="Q20" s="18" t="s">
        <v>1217</v>
      </c>
      <c r="R20" s="18" t="s">
        <v>1217</v>
      </c>
      <c r="S20" s="18" t="s">
        <v>1217</v>
      </c>
      <c r="T20" s="18" t="s">
        <v>1217</v>
      </c>
      <c r="U20" s="20" t="str">
        <f t="shared" si="1"/>
        <v>No</v>
      </c>
      <c r="V20" s="18" t="s">
        <v>1218</v>
      </c>
      <c r="W20" s="18" t="s">
        <v>1218</v>
      </c>
      <c r="X20" s="18" t="s">
        <v>1218</v>
      </c>
      <c r="Y20" s="18" t="s">
        <v>1218</v>
      </c>
      <c r="Z20" s="18" t="s">
        <v>1218</v>
      </c>
      <c r="AA20" s="20" t="str">
        <f t="shared" si="2"/>
        <v>No</v>
      </c>
    </row>
    <row r="21" spans="1:27" ht="30" customHeight="1" x14ac:dyDescent="0.3">
      <c r="A21" s="18" t="s">
        <v>111</v>
      </c>
      <c r="B21" s="18" t="s">
        <v>1262</v>
      </c>
      <c r="C21" s="18" t="s">
        <v>1287</v>
      </c>
      <c r="D21" s="18" t="s">
        <v>529</v>
      </c>
      <c r="E21" s="18" t="s">
        <v>1288</v>
      </c>
      <c r="F21" s="18" t="s">
        <v>1289</v>
      </c>
      <c r="G21" s="20" t="str">
        <f t="shared" si="0"/>
        <v>Como Verificador, quiero consultar todos los documentos registrados en el sistema, para ubicar cualquier documento que deba validar o auditar.</v>
      </c>
      <c r="H21" s="18" t="s">
        <v>1290</v>
      </c>
      <c r="I21" s="18" t="s">
        <v>1272</v>
      </c>
      <c r="J21" s="18" t="s">
        <v>308</v>
      </c>
      <c r="K21" s="18">
        <v>3</v>
      </c>
      <c r="L21" s="18" t="s">
        <v>1256</v>
      </c>
      <c r="M21" s="18" t="s">
        <v>1216</v>
      </c>
      <c r="N21" s="20">
        <f>IF($A21="","",COUNTIF(Criterios_Gherkin!$A$7:$A$206,$A21))</f>
        <v>2</v>
      </c>
      <c r="O21" s="18" t="s">
        <v>1218</v>
      </c>
      <c r="P21" s="18" t="s">
        <v>1217</v>
      </c>
      <c r="Q21" s="18" t="s">
        <v>1217</v>
      </c>
      <c r="R21" s="18" t="s">
        <v>1217</v>
      </c>
      <c r="S21" s="18" t="s">
        <v>1217</v>
      </c>
      <c r="T21" s="18" t="s">
        <v>1217</v>
      </c>
      <c r="U21" s="20" t="str">
        <f t="shared" si="1"/>
        <v>No</v>
      </c>
      <c r="V21" s="18" t="s">
        <v>1218</v>
      </c>
      <c r="W21" s="18" t="s">
        <v>1218</v>
      </c>
      <c r="X21" s="18" t="s">
        <v>1218</v>
      </c>
      <c r="Y21" s="18" t="s">
        <v>1218</v>
      </c>
      <c r="Z21" s="18" t="s">
        <v>1218</v>
      </c>
      <c r="AA21" s="20" t="str">
        <f t="shared" si="2"/>
        <v>No</v>
      </c>
    </row>
    <row r="22" spans="1:27" ht="30" customHeight="1" x14ac:dyDescent="0.3">
      <c r="A22" s="18" t="s">
        <v>118</v>
      </c>
      <c r="B22" s="18" t="s">
        <v>1262</v>
      </c>
      <c r="C22" s="18" t="s">
        <v>1291</v>
      </c>
      <c r="D22" s="18" t="s">
        <v>529</v>
      </c>
      <c r="E22" s="18" t="s">
        <v>1292</v>
      </c>
      <c r="F22" s="18" t="s">
        <v>1293</v>
      </c>
      <c r="G22" s="20" t="str">
        <f t="shared" si="0"/>
        <v>Como Verificador, quiero consultar el historial completo de acciones registradas sobre cualquier documento, para auditar el ciclo de vida documental de la organización.</v>
      </c>
      <c r="H22" s="18" t="s">
        <v>1294</v>
      </c>
      <c r="I22" s="18" t="s">
        <v>1295</v>
      </c>
      <c r="J22" s="18" t="s">
        <v>308</v>
      </c>
      <c r="K22" s="18">
        <v>5</v>
      </c>
      <c r="L22" s="18" t="s">
        <v>1256</v>
      </c>
      <c r="M22" s="18" t="s">
        <v>1216</v>
      </c>
      <c r="N22" s="20">
        <f>IF($A22="","",COUNTIF(Criterios_Gherkin!$A$7:$A$206,$A22))</f>
        <v>2</v>
      </c>
      <c r="O22" s="18" t="s">
        <v>1218</v>
      </c>
      <c r="P22" s="18" t="s">
        <v>1217</v>
      </c>
      <c r="Q22" s="18" t="s">
        <v>1217</v>
      </c>
      <c r="R22" s="18" t="s">
        <v>1217</v>
      </c>
      <c r="S22" s="18" t="s">
        <v>1217</v>
      </c>
      <c r="T22" s="18" t="s">
        <v>1217</v>
      </c>
      <c r="U22" s="20" t="str">
        <f t="shared" si="1"/>
        <v>No</v>
      </c>
      <c r="V22" s="18" t="s">
        <v>1218</v>
      </c>
      <c r="W22" s="18" t="s">
        <v>1218</v>
      </c>
      <c r="X22" s="18" t="s">
        <v>1218</v>
      </c>
      <c r="Y22" s="18" t="s">
        <v>1218</v>
      </c>
      <c r="Z22" s="18" t="s">
        <v>1218</v>
      </c>
      <c r="AA22" s="20" t="str">
        <f t="shared" si="2"/>
        <v>No</v>
      </c>
    </row>
    <row r="23" spans="1:27" ht="30" customHeight="1" x14ac:dyDescent="0.3">
      <c r="A23" s="18" t="s">
        <v>125</v>
      </c>
      <c r="B23" s="18" t="s">
        <v>1296</v>
      </c>
      <c r="C23" s="18" t="s">
        <v>1297</v>
      </c>
      <c r="D23" s="18" t="s">
        <v>1298</v>
      </c>
      <c r="E23" s="18" t="s">
        <v>1299</v>
      </c>
      <c r="F23" s="18" t="s">
        <v>1300</v>
      </c>
      <c r="G23" s="20" t="str">
        <f t="shared" si="0"/>
        <v>Como Administrador, quiero ver un panel con el número de documentos registrados, verificados, pendientes y alterados, para dimensionar rápidamente el estado de la gestión documental.</v>
      </c>
      <c r="H23" s="18" t="s">
        <v>1301</v>
      </c>
      <c r="I23" s="18"/>
      <c r="J23" s="18" t="s">
        <v>347</v>
      </c>
      <c r="K23" s="18">
        <v>3</v>
      </c>
      <c r="L23" s="18" t="s">
        <v>1256</v>
      </c>
      <c r="M23" s="18" t="s">
        <v>1216</v>
      </c>
      <c r="N23" s="20">
        <f>IF($A23="","",COUNTIF(Criterios_Gherkin!$A$7:$A$206,$A23))</f>
        <v>2</v>
      </c>
      <c r="O23" s="18" t="s">
        <v>1218</v>
      </c>
      <c r="P23" s="18" t="s">
        <v>1217</v>
      </c>
      <c r="Q23" s="18" t="s">
        <v>1217</v>
      </c>
      <c r="R23" s="18" t="s">
        <v>1217</v>
      </c>
      <c r="S23" s="18" t="s">
        <v>1217</v>
      </c>
      <c r="T23" s="18" t="s">
        <v>1217</v>
      </c>
      <c r="U23" s="20" t="str">
        <f t="shared" si="1"/>
        <v>No</v>
      </c>
      <c r="V23" s="18" t="s">
        <v>1218</v>
      </c>
      <c r="W23" s="18" t="s">
        <v>1218</v>
      </c>
      <c r="X23" s="18" t="s">
        <v>1218</v>
      </c>
      <c r="Y23" s="18" t="s">
        <v>1218</v>
      </c>
      <c r="Z23" s="18" t="s">
        <v>1218</v>
      </c>
      <c r="AA23" s="20" t="str">
        <f t="shared" si="2"/>
        <v>No</v>
      </c>
    </row>
    <row r="24" spans="1:27" ht="30" customHeight="1" x14ac:dyDescent="0.3">
      <c r="A24" s="18" t="s">
        <v>132</v>
      </c>
      <c r="B24" s="18" t="s">
        <v>1296</v>
      </c>
      <c r="C24" s="18" t="s">
        <v>1302</v>
      </c>
      <c r="D24" s="18" t="s">
        <v>1298</v>
      </c>
      <c r="E24" s="18" t="s">
        <v>1303</v>
      </c>
      <c r="F24" s="18" t="s">
        <v>1304</v>
      </c>
      <c r="G24" s="20" t="str">
        <f t="shared" si="0"/>
        <v>Como Administrador, quiero consultar, crear, editar y desactivar usuarios del sistema, para mantener actualizado y controlado el acceso de Empleados y Verificadores.</v>
      </c>
      <c r="H24" s="18" t="s">
        <v>1305</v>
      </c>
      <c r="I24" s="18" t="s">
        <v>1306</v>
      </c>
      <c r="J24" s="18" t="s">
        <v>308</v>
      </c>
      <c r="K24" s="18">
        <v>8</v>
      </c>
      <c r="L24" s="18" t="s">
        <v>1256</v>
      </c>
      <c r="M24" s="18" t="s">
        <v>1216</v>
      </c>
      <c r="N24" s="20">
        <f>IF($A24="","",COUNTIF(Criterios_Gherkin!$A$7:$A$206,$A24))</f>
        <v>2</v>
      </c>
      <c r="O24" s="18" t="s">
        <v>1218</v>
      </c>
      <c r="P24" s="18" t="s">
        <v>1217</v>
      </c>
      <c r="Q24" s="18" t="s">
        <v>1217</v>
      </c>
      <c r="R24" s="18" t="s">
        <v>1217</v>
      </c>
      <c r="S24" s="18" t="s">
        <v>1218</v>
      </c>
      <c r="T24" s="18" t="s">
        <v>1217</v>
      </c>
      <c r="U24" s="20" t="str">
        <f t="shared" si="1"/>
        <v>No</v>
      </c>
      <c r="V24" s="18" t="s">
        <v>1218</v>
      </c>
      <c r="W24" s="18" t="s">
        <v>1218</v>
      </c>
      <c r="X24" s="18" t="s">
        <v>1218</v>
      </c>
      <c r="Y24" s="18" t="s">
        <v>1218</v>
      </c>
      <c r="Z24" s="18" t="s">
        <v>1218</v>
      </c>
      <c r="AA24" s="20" t="str">
        <f t="shared" si="2"/>
        <v>No</v>
      </c>
    </row>
    <row r="25" spans="1:27" ht="30" customHeight="1" x14ac:dyDescent="0.3">
      <c r="A25" s="18" t="s">
        <v>139</v>
      </c>
      <c r="B25" s="18" t="s">
        <v>1296</v>
      </c>
      <c r="C25" s="18" t="s">
        <v>747</v>
      </c>
      <c r="D25" s="18" t="s">
        <v>1298</v>
      </c>
      <c r="E25" s="18" t="s">
        <v>1307</v>
      </c>
      <c r="F25" s="18" t="s">
        <v>1308</v>
      </c>
      <c r="G25" s="20" t="str">
        <f t="shared" si="0"/>
        <v>Como Administrador, quiero consultar todos los documentos registrados en el sistema con sus metadatos y huella, para dar soporte y supervisión sobre la gestión documental de la organización.</v>
      </c>
      <c r="H25" s="18" t="s">
        <v>1309</v>
      </c>
      <c r="I25" s="18" t="s">
        <v>1310</v>
      </c>
      <c r="J25" s="18" t="s">
        <v>308</v>
      </c>
      <c r="K25" s="18">
        <v>3</v>
      </c>
      <c r="L25" s="18" t="s">
        <v>1256</v>
      </c>
      <c r="M25" s="18" t="s">
        <v>1216</v>
      </c>
      <c r="N25" s="20">
        <f>IF($A25="","",COUNTIF(Criterios_Gherkin!$A$7:$A$206,$A25))</f>
        <v>2</v>
      </c>
      <c r="O25" s="18" t="s">
        <v>1218</v>
      </c>
      <c r="P25" s="18" t="s">
        <v>1217</v>
      </c>
      <c r="Q25" s="18" t="s">
        <v>1217</v>
      </c>
      <c r="R25" s="18" t="s">
        <v>1217</v>
      </c>
      <c r="S25" s="18" t="s">
        <v>1217</v>
      </c>
      <c r="T25" s="18" t="s">
        <v>1217</v>
      </c>
      <c r="U25" s="20" t="str">
        <f t="shared" si="1"/>
        <v>No</v>
      </c>
      <c r="V25" s="18" t="s">
        <v>1218</v>
      </c>
      <c r="W25" s="18" t="s">
        <v>1218</v>
      </c>
      <c r="X25" s="18" t="s">
        <v>1218</v>
      </c>
      <c r="Y25" s="18" t="s">
        <v>1218</v>
      </c>
      <c r="Z25" s="18" t="s">
        <v>1218</v>
      </c>
      <c r="AA25" s="20" t="str">
        <f t="shared" si="2"/>
        <v>No</v>
      </c>
    </row>
    <row r="26" spans="1:27" ht="30" customHeight="1" x14ac:dyDescent="0.3">
      <c r="A26" s="18" t="s">
        <v>145</v>
      </c>
      <c r="B26" s="18" t="s">
        <v>1296</v>
      </c>
      <c r="C26" s="18" t="s">
        <v>1311</v>
      </c>
      <c r="D26" s="18" t="s">
        <v>1298</v>
      </c>
      <c r="E26" s="18" t="s">
        <v>1312</v>
      </c>
      <c r="F26" s="18" t="s">
        <v>1313</v>
      </c>
      <c r="G26" s="20" t="str">
        <f t="shared" si="0"/>
        <v>Como Administrador, quiero consultar el registro histórico completo de acciones sobre los documentos, para auditar el uso del sistema desde una perspectiva administrativa.</v>
      </c>
      <c r="H26" s="18" t="s">
        <v>1314</v>
      </c>
      <c r="I26" s="18" t="s">
        <v>1295</v>
      </c>
      <c r="J26" s="18" t="s">
        <v>308</v>
      </c>
      <c r="K26" s="18">
        <v>5</v>
      </c>
      <c r="L26" s="18" t="s">
        <v>1256</v>
      </c>
      <c r="M26" s="18" t="s">
        <v>1216</v>
      </c>
      <c r="N26" s="20">
        <f>IF($A26="","",COUNTIF(Criterios_Gherkin!$A$7:$A$206,$A26))</f>
        <v>2</v>
      </c>
      <c r="O26" s="18" t="s">
        <v>1218</v>
      </c>
      <c r="P26" s="18" t="s">
        <v>1217</v>
      </c>
      <c r="Q26" s="18" t="s">
        <v>1217</v>
      </c>
      <c r="R26" s="18" t="s">
        <v>1217</v>
      </c>
      <c r="S26" s="18" t="s">
        <v>1217</v>
      </c>
      <c r="T26" s="18" t="s">
        <v>1217</v>
      </c>
      <c r="U26" s="20" t="str">
        <f t="shared" si="1"/>
        <v>No</v>
      </c>
      <c r="V26" s="18" t="s">
        <v>1218</v>
      </c>
      <c r="W26" s="18" t="s">
        <v>1218</v>
      </c>
      <c r="X26" s="18" t="s">
        <v>1218</v>
      </c>
      <c r="Y26" s="18" t="s">
        <v>1218</v>
      </c>
      <c r="Z26" s="18" t="s">
        <v>1218</v>
      </c>
      <c r="AA26" s="20" t="str">
        <f t="shared" si="2"/>
        <v>No</v>
      </c>
    </row>
    <row r="27" spans="1:27" ht="30" customHeight="1" x14ac:dyDescent="0.3">
      <c r="A27" s="18" t="s">
        <v>151</v>
      </c>
      <c r="B27" s="18" t="s">
        <v>1315</v>
      </c>
      <c r="C27" s="18" t="s">
        <v>1316</v>
      </c>
      <c r="D27" s="18" t="s">
        <v>1317</v>
      </c>
      <c r="E27" s="18" t="s">
        <v>1318</v>
      </c>
      <c r="F27" s="18" t="s">
        <v>1319</v>
      </c>
      <c r="G27" s="20" t="str">
        <f t="shared" si="0"/>
        <v>Como equipo de desarrollo, quiero desplegar la red Hyperledger Fabric, el backend, el frontend y MongoDB mediante Docker Compose, para contar con un entorno reproducible donde ejecutar y validar el MVP.</v>
      </c>
      <c r="H27" s="18"/>
      <c r="I27" s="18" t="s">
        <v>1320</v>
      </c>
      <c r="J27" s="18" t="s">
        <v>308</v>
      </c>
      <c r="K27" s="18">
        <v>13</v>
      </c>
      <c r="L27" s="18" t="s">
        <v>1321</v>
      </c>
      <c r="M27" s="18" t="s">
        <v>1216</v>
      </c>
      <c r="N27" s="20">
        <f>IF($A27="","",COUNTIF(Criterios_Gherkin!$A$7:$A$206,$A27))</f>
        <v>2</v>
      </c>
      <c r="O27" s="18" t="s">
        <v>1217</v>
      </c>
      <c r="P27" s="18" t="s">
        <v>1217</v>
      </c>
      <c r="Q27" s="18" t="s">
        <v>1217</v>
      </c>
      <c r="R27" s="18" t="s">
        <v>1217</v>
      </c>
      <c r="S27" s="18" t="s">
        <v>1218</v>
      </c>
      <c r="T27" s="18" t="s">
        <v>1217</v>
      </c>
      <c r="U27" s="20" t="str">
        <f t="shared" si="1"/>
        <v>No</v>
      </c>
      <c r="V27" s="18" t="s">
        <v>1218</v>
      </c>
      <c r="W27" s="18" t="s">
        <v>1218</v>
      </c>
      <c r="X27" s="18" t="s">
        <v>1218</v>
      </c>
      <c r="Y27" s="18" t="s">
        <v>1218</v>
      </c>
      <c r="Z27" s="18" t="s">
        <v>1218</v>
      </c>
      <c r="AA27" s="20" t="str">
        <f t="shared" si="2"/>
        <v>No</v>
      </c>
    </row>
    <row r="28" spans="1:27" ht="30" customHeight="1" x14ac:dyDescent="0.3">
      <c r="A28" s="12"/>
      <c r="B28" s="12"/>
      <c r="C28" s="12"/>
      <c r="D28" s="12"/>
      <c r="E28" s="12"/>
      <c r="F28" s="12"/>
      <c r="G28" s="1" t="str">
        <f t="shared" si="0"/>
        <v/>
      </c>
      <c r="H28" s="12"/>
      <c r="I28" s="12"/>
      <c r="J28" s="12"/>
      <c r="K28" s="12"/>
      <c r="L28" s="12"/>
      <c r="M28" s="12"/>
      <c r="N28" s="16" t="str">
        <f>IF($A28="","",COUNTIF(Criterios_Gherkin!$A$7:$A$206,$A28))</f>
        <v/>
      </c>
      <c r="O28" s="12"/>
      <c r="P28" s="12"/>
      <c r="Q28" s="12"/>
      <c r="R28" s="12"/>
      <c r="S28" s="12"/>
      <c r="T28" s="12"/>
      <c r="U28" s="16" t="str">
        <f t="shared" si="1"/>
        <v/>
      </c>
      <c r="V28" s="12"/>
      <c r="W28" s="12"/>
      <c r="X28" s="12"/>
      <c r="Y28" s="12"/>
      <c r="Z28" s="12"/>
      <c r="AA28" s="16" t="str">
        <f t="shared" si="2"/>
        <v/>
      </c>
    </row>
    <row r="29" spans="1:27" ht="30" customHeight="1" x14ac:dyDescent="0.3">
      <c r="A29" s="12"/>
      <c r="B29" s="12"/>
      <c r="C29" s="12"/>
      <c r="D29" s="12"/>
      <c r="E29" s="12"/>
      <c r="F29" s="12"/>
      <c r="G29" s="1" t="str">
        <f t="shared" si="0"/>
        <v/>
      </c>
      <c r="H29" s="12"/>
      <c r="I29" s="12"/>
      <c r="J29" s="12"/>
      <c r="K29" s="12"/>
      <c r="L29" s="12"/>
      <c r="M29" s="12"/>
      <c r="N29" s="16" t="str">
        <f>IF($A29="","",COUNTIF(Criterios_Gherkin!$A$7:$A$206,$A29))</f>
        <v/>
      </c>
      <c r="O29" s="12"/>
      <c r="P29" s="12"/>
      <c r="Q29" s="12"/>
      <c r="R29" s="12"/>
      <c r="S29" s="12"/>
      <c r="T29" s="12"/>
      <c r="U29" s="16" t="str">
        <f t="shared" si="1"/>
        <v/>
      </c>
      <c r="V29" s="12"/>
      <c r="W29" s="12"/>
      <c r="X29" s="12"/>
      <c r="Y29" s="12"/>
      <c r="Z29" s="12"/>
      <c r="AA29" s="16" t="str">
        <f t="shared" si="2"/>
        <v/>
      </c>
    </row>
    <row r="30" spans="1:27" ht="30" customHeight="1" x14ac:dyDescent="0.3">
      <c r="A30" s="12"/>
      <c r="B30" s="12"/>
      <c r="C30" s="12"/>
      <c r="D30" s="12"/>
      <c r="E30" s="12"/>
      <c r="F30" s="12"/>
      <c r="G30" s="1" t="str">
        <f t="shared" si="0"/>
        <v/>
      </c>
      <c r="H30" s="12"/>
      <c r="I30" s="12"/>
      <c r="J30" s="12"/>
      <c r="K30" s="12"/>
      <c r="L30" s="12"/>
      <c r="M30" s="12"/>
      <c r="N30" s="16" t="str">
        <f>IF($A30="","",COUNTIF(Criterios_Gherkin!$A$7:$A$206,$A30))</f>
        <v/>
      </c>
      <c r="O30" s="12"/>
      <c r="P30" s="12"/>
      <c r="Q30" s="12"/>
      <c r="R30" s="12"/>
      <c r="S30" s="12"/>
      <c r="T30" s="12"/>
      <c r="U30" s="16" t="str">
        <f t="shared" si="1"/>
        <v/>
      </c>
      <c r="V30" s="12"/>
      <c r="W30" s="12"/>
      <c r="X30" s="12"/>
      <c r="Y30" s="12"/>
      <c r="Z30" s="12"/>
      <c r="AA30" s="16" t="str">
        <f t="shared" si="2"/>
        <v/>
      </c>
    </row>
    <row r="31" spans="1:27" ht="30" customHeight="1" x14ac:dyDescent="0.3">
      <c r="A31" s="12"/>
      <c r="B31" s="12"/>
      <c r="C31" s="12"/>
      <c r="D31" s="12"/>
      <c r="E31" s="12"/>
      <c r="F31" s="12"/>
      <c r="G31" s="1" t="str">
        <f t="shared" si="0"/>
        <v/>
      </c>
      <c r="H31" s="12"/>
      <c r="I31" s="12"/>
      <c r="J31" s="12"/>
      <c r="K31" s="12"/>
      <c r="L31" s="12"/>
      <c r="M31" s="12"/>
      <c r="N31" s="16" t="str">
        <f>IF($A31="","",COUNTIF(Criterios_Gherkin!$A$7:$A$206,$A31))</f>
        <v/>
      </c>
      <c r="O31" s="12"/>
      <c r="P31" s="12"/>
      <c r="Q31" s="12"/>
      <c r="R31" s="12"/>
      <c r="S31" s="12"/>
      <c r="T31" s="12"/>
      <c r="U31" s="16" t="str">
        <f t="shared" si="1"/>
        <v/>
      </c>
      <c r="V31" s="12"/>
      <c r="W31" s="12"/>
      <c r="X31" s="12"/>
      <c r="Y31" s="12"/>
      <c r="Z31" s="12"/>
      <c r="AA31" s="16" t="str">
        <f t="shared" si="2"/>
        <v/>
      </c>
    </row>
    <row r="32" spans="1:27" ht="30" customHeight="1" x14ac:dyDescent="0.3">
      <c r="A32" s="12"/>
      <c r="B32" s="12"/>
      <c r="C32" s="12"/>
      <c r="D32" s="12"/>
      <c r="E32" s="12"/>
      <c r="F32" s="12"/>
      <c r="G32" s="1" t="str">
        <f t="shared" si="0"/>
        <v/>
      </c>
      <c r="H32" s="12"/>
      <c r="I32" s="12"/>
      <c r="J32" s="12"/>
      <c r="K32" s="12"/>
      <c r="L32" s="12"/>
      <c r="M32" s="12"/>
      <c r="N32" s="16" t="str">
        <f>IF($A32="","",COUNTIF(Criterios_Gherkin!$A$7:$A$206,$A32))</f>
        <v/>
      </c>
      <c r="O32" s="12"/>
      <c r="P32" s="12"/>
      <c r="Q32" s="12"/>
      <c r="R32" s="12"/>
      <c r="S32" s="12"/>
      <c r="T32" s="12"/>
      <c r="U32" s="16" t="str">
        <f t="shared" si="1"/>
        <v/>
      </c>
      <c r="V32" s="12"/>
      <c r="W32" s="12"/>
      <c r="X32" s="12"/>
      <c r="Y32" s="12"/>
      <c r="Z32" s="12"/>
      <c r="AA32" s="16" t="str">
        <f t="shared" si="2"/>
        <v/>
      </c>
    </row>
    <row r="33" spans="1:27" ht="30" customHeight="1" x14ac:dyDescent="0.3">
      <c r="A33" s="12"/>
      <c r="B33" s="12"/>
      <c r="C33" s="12"/>
      <c r="D33" s="12"/>
      <c r="E33" s="12"/>
      <c r="F33" s="12"/>
      <c r="G33" s="1" t="str">
        <f t="shared" si="0"/>
        <v/>
      </c>
      <c r="H33" s="12"/>
      <c r="I33" s="12"/>
      <c r="J33" s="12"/>
      <c r="K33" s="12"/>
      <c r="L33" s="12"/>
      <c r="M33" s="12"/>
      <c r="N33" s="16" t="str">
        <f>IF($A33="","",COUNTIF(Criterios_Gherkin!$A$7:$A$206,$A33))</f>
        <v/>
      </c>
      <c r="O33" s="12"/>
      <c r="P33" s="12"/>
      <c r="Q33" s="12"/>
      <c r="R33" s="12"/>
      <c r="S33" s="12"/>
      <c r="T33" s="12"/>
      <c r="U33" s="16" t="str">
        <f t="shared" si="1"/>
        <v/>
      </c>
      <c r="V33" s="12"/>
      <c r="W33" s="12"/>
      <c r="X33" s="12"/>
      <c r="Y33" s="12"/>
      <c r="Z33" s="12"/>
      <c r="AA33" s="16" t="str">
        <f t="shared" si="2"/>
        <v/>
      </c>
    </row>
    <row r="34" spans="1:27" ht="30" customHeight="1" x14ac:dyDescent="0.3">
      <c r="A34" s="12"/>
      <c r="B34" s="12"/>
      <c r="C34" s="12"/>
      <c r="D34" s="12"/>
      <c r="E34" s="12"/>
      <c r="F34" s="12"/>
      <c r="G34" s="1" t="str">
        <f t="shared" si="0"/>
        <v/>
      </c>
      <c r="H34" s="12"/>
      <c r="I34" s="12"/>
      <c r="J34" s="12"/>
      <c r="K34" s="12"/>
      <c r="L34" s="12"/>
      <c r="M34" s="12"/>
      <c r="N34" s="16" t="str">
        <f>IF($A34="","",COUNTIF(Criterios_Gherkin!$A$7:$A$206,$A34))</f>
        <v/>
      </c>
      <c r="O34" s="12"/>
      <c r="P34" s="12"/>
      <c r="Q34" s="12"/>
      <c r="R34" s="12"/>
      <c r="S34" s="12"/>
      <c r="T34" s="12"/>
      <c r="U34" s="16" t="str">
        <f t="shared" si="1"/>
        <v/>
      </c>
      <c r="V34" s="12"/>
      <c r="W34" s="12"/>
      <c r="X34" s="12"/>
      <c r="Y34" s="12"/>
      <c r="Z34" s="12"/>
      <c r="AA34" s="16" t="str">
        <f t="shared" si="2"/>
        <v/>
      </c>
    </row>
    <row r="35" spans="1:27" ht="30" customHeight="1" x14ac:dyDescent="0.3">
      <c r="A35" s="12"/>
      <c r="B35" s="12"/>
      <c r="C35" s="12"/>
      <c r="D35" s="12"/>
      <c r="E35" s="12"/>
      <c r="F35" s="12"/>
      <c r="G35" s="1" t="str">
        <f t="shared" si="0"/>
        <v/>
      </c>
      <c r="H35" s="12"/>
      <c r="I35" s="12"/>
      <c r="J35" s="12"/>
      <c r="K35" s="12"/>
      <c r="L35" s="12"/>
      <c r="M35" s="12"/>
      <c r="N35" s="16" t="str">
        <f>IF($A35="","",COUNTIF(Criterios_Gherkin!$A$7:$A$206,$A35))</f>
        <v/>
      </c>
      <c r="O35" s="12"/>
      <c r="P35" s="12"/>
      <c r="Q35" s="12"/>
      <c r="R35" s="12"/>
      <c r="S35" s="12"/>
      <c r="T35" s="12"/>
      <c r="U35" s="16" t="str">
        <f t="shared" si="1"/>
        <v/>
      </c>
      <c r="V35" s="12"/>
      <c r="W35" s="12"/>
      <c r="X35" s="12"/>
      <c r="Y35" s="12"/>
      <c r="Z35" s="12"/>
      <c r="AA35" s="16" t="str">
        <f t="shared" si="2"/>
        <v/>
      </c>
    </row>
    <row r="36" spans="1:27" ht="30" customHeight="1" x14ac:dyDescent="0.3">
      <c r="A36" s="12"/>
      <c r="B36" s="12"/>
      <c r="C36" s="12"/>
      <c r="D36" s="12"/>
      <c r="E36" s="12"/>
      <c r="F36" s="12"/>
      <c r="G36" s="1" t="str">
        <f t="shared" si="0"/>
        <v/>
      </c>
      <c r="H36" s="12"/>
      <c r="I36" s="12"/>
      <c r="J36" s="12"/>
      <c r="K36" s="12"/>
      <c r="L36" s="12"/>
      <c r="M36" s="12"/>
      <c r="N36" s="16" t="str">
        <f>IF($A36="","",COUNTIF(Criterios_Gherkin!$A$7:$A$206,$A36))</f>
        <v/>
      </c>
      <c r="O36" s="12"/>
      <c r="P36" s="12"/>
      <c r="Q36" s="12"/>
      <c r="R36" s="12"/>
      <c r="S36" s="12"/>
      <c r="T36" s="12"/>
      <c r="U36" s="16" t="str">
        <f t="shared" si="1"/>
        <v/>
      </c>
      <c r="V36" s="12"/>
      <c r="W36" s="12"/>
      <c r="X36" s="12"/>
      <c r="Y36" s="12"/>
      <c r="Z36" s="12"/>
      <c r="AA36" s="16" t="str">
        <f t="shared" si="2"/>
        <v/>
      </c>
    </row>
    <row r="37" spans="1:27" ht="30" customHeight="1" x14ac:dyDescent="0.3">
      <c r="A37" s="12"/>
      <c r="B37" s="12"/>
      <c r="C37" s="12"/>
      <c r="D37" s="12"/>
      <c r="E37" s="12"/>
      <c r="F37" s="12"/>
      <c r="G37" s="1" t="str">
        <f t="shared" si="0"/>
        <v/>
      </c>
      <c r="H37" s="12"/>
      <c r="I37" s="12"/>
      <c r="J37" s="12"/>
      <c r="K37" s="12"/>
      <c r="L37" s="12"/>
      <c r="M37" s="12"/>
      <c r="N37" s="16" t="str">
        <f>IF($A37="","",COUNTIF(Criterios_Gherkin!$A$7:$A$206,$A37))</f>
        <v/>
      </c>
      <c r="O37" s="12"/>
      <c r="P37" s="12"/>
      <c r="Q37" s="12"/>
      <c r="R37" s="12"/>
      <c r="S37" s="12"/>
      <c r="T37" s="12"/>
      <c r="U37" s="16" t="str">
        <f t="shared" si="1"/>
        <v/>
      </c>
      <c r="V37" s="12"/>
      <c r="W37" s="12"/>
      <c r="X37" s="12"/>
      <c r="Y37" s="12"/>
      <c r="Z37" s="12"/>
      <c r="AA37" s="16" t="str">
        <f t="shared" si="2"/>
        <v/>
      </c>
    </row>
    <row r="38" spans="1:27" ht="30" customHeight="1" x14ac:dyDescent="0.3">
      <c r="A38" s="12"/>
      <c r="B38" s="12"/>
      <c r="C38" s="12"/>
      <c r="D38" s="12"/>
      <c r="E38" s="12"/>
      <c r="F38" s="12"/>
      <c r="G38" s="1" t="str">
        <f t="shared" si="0"/>
        <v/>
      </c>
      <c r="H38" s="12"/>
      <c r="I38" s="12"/>
      <c r="J38" s="12"/>
      <c r="K38" s="12"/>
      <c r="L38" s="12"/>
      <c r="M38" s="12"/>
      <c r="N38" s="16" t="str">
        <f>IF($A38="","",COUNTIF(Criterios_Gherkin!$A$7:$A$206,$A38))</f>
        <v/>
      </c>
      <c r="O38" s="12"/>
      <c r="P38" s="12"/>
      <c r="Q38" s="12"/>
      <c r="R38" s="12"/>
      <c r="S38" s="12"/>
      <c r="T38" s="12"/>
      <c r="U38" s="16" t="str">
        <f t="shared" si="1"/>
        <v/>
      </c>
      <c r="V38" s="12"/>
      <c r="W38" s="12"/>
      <c r="X38" s="12"/>
      <c r="Y38" s="12"/>
      <c r="Z38" s="12"/>
      <c r="AA38" s="16" t="str">
        <f t="shared" si="2"/>
        <v/>
      </c>
    </row>
    <row r="39" spans="1:27" ht="30" customHeight="1" x14ac:dyDescent="0.3">
      <c r="A39" s="12"/>
      <c r="B39" s="12"/>
      <c r="C39" s="12"/>
      <c r="D39" s="12"/>
      <c r="E39" s="12"/>
      <c r="F39" s="12"/>
      <c r="G39" s="1" t="str">
        <f t="shared" ref="G39:G70" si="3">IF($A39="","","Como "&amp;D39&amp;", quiero "&amp;E39&amp;", para "&amp;F39&amp;".")</f>
        <v/>
      </c>
      <c r="H39" s="12"/>
      <c r="I39" s="12"/>
      <c r="J39" s="12"/>
      <c r="K39" s="12"/>
      <c r="L39" s="12"/>
      <c r="M39" s="12"/>
      <c r="N39" s="16" t="str">
        <f>IF($A39="","",COUNTIF(Criterios_Gherkin!$A$7:$A$206,$A39))</f>
        <v/>
      </c>
      <c r="O39" s="12"/>
      <c r="P39" s="12"/>
      <c r="Q39" s="12"/>
      <c r="R39" s="12"/>
      <c r="S39" s="12"/>
      <c r="T39" s="12"/>
      <c r="U39" s="16" t="str">
        <f t="shared" ref="U39:U70" si="4">IF($A39="","",IF(COUNTIF($O39:$T39,"Sí")=6,"Sí","No"))</f>
        <v/>
      </c>
      <c r="V39" s="12"/>
      <c r="W39" s="12"/>
      <c r="X39" s="12"/>
      <c r="Y39" s="12"/>
      <c r="Z39" s="12"/>
      <c r="AA39" s="16" t="str">
        <f t="shared" ref="AA39:AA70" si="5">IF($A39="","",IF(COUNTIF($V39:$Z39,"Sí")=5,"Sí","No"))</f>
        <v/>
      </c>
    </row>
    <row r="40" spans="1:27" ht="30" customHeight="1" x14ac:dyDescent="0.3">
      <c r="A40" s="12"/>
      <c r="B40" s="12"/>
      <c r="C40" s="12"/>
      <c r="D40" s="12"/>
      <c r="E40" s="12"/>
      <c r="F40" s="12"/>
      <c r="G40" s="1" t="str">
        <f t="shared" si="3"/>
        <v/>
      </c>
      <c r="H40" s="12"/>
      <c r="I40" s="12"/>
      <c r="J40" s="12"/>
      <c r="K40" s="12"/>
      <c r="L40" s="12"/>
      <c r="M40" s="12"/>
      <c r="N40" s="16" t="str">
        <f>IF($A40="","",COUNTIF(Criterios_Gherkin!$A$7:$A$206,$A40))</f>
        <v/>
      </c>
      <c r="O40" s="12"/>
      <c r="P40" s="12"/>
      <c r="Q40" s="12"/>
      <c r="R40" s="12"/>
      <c r="S40" s="12"/>
      <c r="T40" s="12"/>
      <c r="U40" s="16" t="str">
        <f t="shared" si="4"/>
        <v/>
      </c>
      <c r="V40" s="12"/>
      <c r="W40" s="12"/>
      <c r="X40" s="12"/>
      <c r="Y40" s="12"/>
      <c r="Z40" s="12"/>
      <c r="AA40" s="16" t="str">
        <f t="shared" si="5"/>
        <v/>
      </c>
    </row>
    <row r="41" spans="1:27" ht="30" customHeight="1" x14ac:dyDescent="0.3">
      <c r="A41" s="12"/>
      <c r="B41" s="12"/>
      <c r="C41" s="12"/>
      <c r="D41" s="12"/>
      <c r="E41" s="12"/>
      <c r="F41" s="12"/>
      <c r="G41" s="1" t="str">
        <f t="shared" si="3"/>
        <v/>
      </c>
      <c r="H41" s="12"/>
      <c r="I41" s="12"/>
      <c r="J41" s="12"/>
      <c r="K41" s="12"/>
      <c r="L41" s="12"/>
      <c r="M41" s="12"/>
      <c r="N41" s="16" t="str">
        <f>IF($A41="","",COUNTIF(Criterios_Gherkin!$A$7:$A$206,$A41))</f>
        <v/>
      </c>
      <c r="O41" s="12"/>
      <c r="P41" s="12"/>
      <c r="Q41" s="12"/>
      <c r="R41" s="12"/>
      <c r="S41" s="12"/>
      <c r="T41" s="12"/>
      <c r="U41" s="16" t="str">
        <f t="shared" si="4"/>
        <v/>
      </c>
      <c r="V41" s="12"/>
      <c r="W41" s="12"/>
      <c r="X41" s="12"/>
      <c r="Y41" s="12"/>
      <c r="Z41" s="12"/>
      <c r="AA41" s="16" t="str">
        <f t="shared" si="5"/>
        <v/>
      </c>
    </row>
    <row r="42" spans="1:27" ht="30" customHeight="1" x14ac:dyDescent="0.3">
      <c r="A42" s="12"/>
      <c r="B42" s="12"/>
      <c r="C42" s="12"/>
      <c r="D42" s="12"/>
      <c r="E42" s="12"/>
      <c r="F42" s="12"/>
      <c r="G42" s="1" t="str">
        <f t="shared" si="3"/>
        <v/>
      </c>
      <c r="H42" s="12"/>
      <c r="I42" s="12"/>
      <c r="J42" s="12"/>
      <c r="K42" s="12"/>
      <c r="L42" s="12"/>
      <c r="M42" s="12"/>
      <c r="N42" s="16" t="str">
        <f>IF($A42="","",COUNTIF(Criterios_Gherkin!$A$7:$A$206,$A42))</f>
        <v/>
      </c>
      <c r="O42" s="12"/>
      <c r="P42" s="12"/>
      <c r="Q42" s="12"/>
      <c r="R42" s="12"/>
      <c r="S42" s="12"/>
      <c r="T42" s="12"/>
      <c r="U42" s="16" t="str">
        <f t="shared" si="4"/>
        <v/>
      </c>
      <c r="V42" s="12"/>
      <c r="W42" s="12"/>
      <c r="X42" s="12"/>
      <c r="Y42" s="12"/>
      <c r="Z42" s="12"/>
      <c r="AA42" s="16" t="str">
        <f t="shared" si="5"/>
        <v/>
      </c>
    </row>
    <row r="43" spans="1:27" ht="30" customHeight="1" x14ac:dyDescent="0.3">
      <c r="A43" s="12"/>
      <c r="B43" s="12"/>
      <c r="C43" s="12"/>
      <c r="D43" s="12"/>
      <c r="E43" s="12"/>
      <c r="F43" s="12"/>
      <c r="G43" s="1" t="str">
        <f t="shared" si="3"/>
        <v/>
      </c>
      <c r="H43" s="12"/>
      <c r="I43" s="12"/>
      <c r="J43" s="12"/>
      <c r="K43" s="12"/>
      <c r="L43" s="12"/>
      <c r="M43" s="12"/>
      <c r="N43" s="16" t="str">
        <f>IF($A43="","",COUNTIF(Criterios_Gherkin!$A$7:$A$206,$A43))</f>
        <v/>
      </c>
      <c r="O43" s="12"/>
      <c r="P43" s="12"/>
      <c r="Q43" s="12"/>
      <c r="R43" s="12"/>
      <c r="S43" s="12"/>
      <c r="T43" s="12"/>
      <c r="U43" s="16" t="str">
        <f t="shared" si="4"/>
        <v/>
      </c>
      <c r="V43" s="12"/>
      <c r="W43" s="12"/>
      <c r="X43" s="12"/>
      <c r="Y43" s="12"/>
      <c r="Z43" s="12"/>
      <c r="AA43" s="16" t="str">
        <f t="shared" si="5"/>
        <v/>
      </c>
    </row>
    <row r="44" spans="1:27" ht="30" customHeight="1" x14ac:dyDescent="0.3">
      <c r="A44" s="12"/>
      <c r="B44" s="12"/>
      <c r="C44" s="12"/>
      <c r="D44" s="12"/>
      <c r="E44" s="12"/>
      <c r="F44" s="12"/>
      <c r="G44" s="1" t="str">
        <f t="shared" si="3"/>
        <v/>
      </c>
      <c r="H44" s="12"/>
      <c r="I44" s="12"/>
      <c r="J44" s="12"/>
      <c r="K44" s="12"/>
      <c r="L44" s="12"/>
      <c r="M44" s="12"/>
      <c r="N44" s="16" t="str">
        <f>IF($A44="","",COUNTIF(Criterios_Gherkin!$A$7:$A$206,$A44))</f>
        <v/>
      </c>
      <c r="O44" s="12"/>
      <c r="P44" s="12"/>
      <c r="Q44" s="12"/>
      <c r="R44" s="12"/>
      <c r="S44" s="12"/>
      <c r="T44" s="12"/>
      <c r="U44" s="16" t="str">
        <f t="shared" si="4"/>
        <v/>
      </c>
      <c r="V44" s="12"/>
      <c r="W44" s="12"/>
      <c r="X44" s="12"/>
      <c r="Y44" s="12"/>
      <c r="Z44" s="12"/>
      <c r="AA44" s="16" t="str">
        <f t="shared" si="5"/>
        <v/>
      </c>
    </row>
    <row r="45" spans="1:27" ht="30" customHeight="1" x14ac:dyDescent="0.3">
      <c r="A45" s="12"/>
      <c r="B45" s="12"/>
      <c r="C45" s="12"/>
      <c r="D45" s="12"/>
      <c r="E45" s="12"/>
      <c r="F45" s="12"/>
      <c r="G45" s="1" t="str">
        <f t="shared" si="3"/>
        <v/>
      </c>
      <c r="H45" s="12"/>
      <c r="I45" s="12"/>
      <c r="J45" s="12"/>
      <c r="K45" s="12"/>
      <c r="L45" s="12"/>
      <c r="M45" s="12"/>
      <c r="N45" s="16" t="str">
        <f>IF($A45="","",COUNTIF(Criterios_Gherkin!$A$7:$A$206,$A45))</f>
        <v/>
      </c>
      <c r="O45" s="12"/>
      <c r="P45" s="12"/>
      <c r="Q45" s="12"/>
      <c r="R45" s="12"/>
      <c r="S45" s="12"/>
      <c r="T45" s="12"/>
      <c r="U45" s="16" t="str">
        <f t="shared" si="4"/>
        <v/>
      </c>
      <c r="V45" s="12"/>
      <c r="W45" s="12"/>
      <c r="X45" s="12"/>
      <c r="Y45" s="12"/>
      <c r="Z45" s="12"/>
      <c r="AA45" s="16" t="str">
        <f t="shared" si="5"/>
        <v/>
      </c>
    </row>
    <row r="46" spans="1:27" ht="30" customHeight="1" x14ac:dyDescent="0.3">
      <c r="A46" s="12"/>
      <c r="B46" s="12"/>
      <c r="C46" s="12"/>
      <c r="D46" s="12"/>
      <c r="E46" s="12"/>
      <c r="F46" s="12"/>
      <c r="G46" s="1" t="str">
        <f t="shared" si="3"/>
        <v/>
      </c>
      <c r="H46" s="12"/>
      <c r="I46" s="12"/>
      <c r="J46" s="12"/>
      <c r="K46" s="12"/>
      <c r="L46" s="12"/>
      <c r="M46" s="12"/>
      <c r="N46" s="16" t="str">
        <f>IF($A46="","",COUNTIF(Criterios_Gherkin!$A$7:$A$206,$A46))</f>
        <v/>
      </c>
      <c r="O46" s="12"/>
      <c r="P46" s="12"/>
      <c r="Q46" s="12"/>
      <c r="R46" s="12"/>
      <c r="S46" s="12"/>
      <c r="T46" s="12"/>
      <c r="U46" s="16" t="str">
        <f t="shared" si="4"/>
        <v/>
      </c>
      <c r="V46" s="12"/>
      <c r="W46" s="12"/>
      <c r="X46" s="12"/>
      <c r="Y46" s="12"/>
      <c r="Z46" s="12"/>
      <c r="AA46" s="16" t="str">
        <f t="shared" si="5"/>
        <v/>
      </c>
    </row>
    <row r="47" spans="1:27" ht="30" customHeight="1" x14ac:dyDescent="0.3">
      <c r="A47" s="12"/>
      <c r="B47" s="12"/>
      <c r="C47" s="12"/>
      <c r="D47" s="12"/>
      <c r="E47" s="12"/>
      <c r="F47" s="12"/>
      <c r="G47" s="1" t="str">
        <f t="shared" si="3"/>
        <v/>
      </c>
      <c r="H47" s="12"/>
      <c r="I47" s="12"/>
      <c r="J47" s="12"/>
      <c r="K47" s="12"/>
      <c r="L47" s="12"/>
      <c r="M47" s="12"/>
      <c r="N47" s="16" t="str">
        <f>IF($A47="","",COUNTIF(Criterios_Gherkin!$A$7:$A$206,$A47))</f>
        <v/>
      </c>
      <c r="O47" s="12"/>
      <c r="P47" s="12"/>
      <c r="Q47" s="12"/>
      <c r="R47" s="12"/>
      <c r="S47" s="12"/>
      <c r="T47" s="12"/>
      <c r="U47" s="16" t="str">
        <f t="shared" si="4"/>
        <v/>
      </c>
      <c r="V47" s="12"/>
      <c r="W47" s="12"/>
      <c r="X47" s="12"/>
      <c r="Y47" s="12"/>
      <c r="Z47" s="12"/>
      <c r="AA47" s="16" t="str">
        <f t="shared" si="5"/>
        <v/>
      </c>
    </row>
    <row r="48" spans="1:27" ht="30" customHeight="1" x14ac:dyDescent="0.3">
      <c r="A48" s="12"/>
      <c r="B48" s="12"/>
      <c r="C48" s="12"/>
      <c r="D48" s="12"/>
      <c r="E48" s="12"/>
      <c r="F48" s="12"/>
      <c r="G48" s="1" t="str">
        <f t="shared" si="3"/>
        <v/>
      </c>
      <c r="H48" s="12"/>
      <c r="I48" s="12"/>
      <c r="J48" s="12"/>
      <c r="K48" s="12"/>
      <c r="L48" s="12"/>
      <c r="M48" s="12"/>
      <c r="N48" s="16" t="str">
        <f>IF($A48="","",COUNTIF(Criterios_Gherkin!$A$7:$A$206,$A48))</f>
        <v/>
      </c>
      <c r="O48" s="12"/>
      <c r="P48" s="12"/>
      <c r="Q48" s="12"/>
      <c r="R48" s="12"/>
      <c r="S48" s="12"/>
      <c r="T48" s="12"/>
      <c r="U48" s="16" t="str">
        <f t="shared" si="4"/>
        <v/>
      </c>
      <c r="V48" s="12"/>
      <c r="W48" s="12"/>
      <c r="X48" s="12"/>
      <c r="Y48" s="12"/>
      <c r="Z48" s="12"/>
      <c r="AA48" s="16" t="str">
        <f t="shared" si="5"/>
        <v/>
      </c>
    </row>
    <row r="49" spans="1:27" ht="30" customHeight="1" x14ac:dyDescent="0.3">
      <c r="A49" s="12"/>
      <c r="B49" s="12"/>
      <c r="C49" s="12"/>
      <c r="D49" s="12"/>
      <c r="E49" s="12"/>
      <c r="F49" s="12"/>
      <c r="G49" s="1" t="str">
        <f t="shared" si="3"/>
        <v/>
      </c>
      <c r="H49" s="12"/>
      <c r="I49" s="12"/>
      <c r="J49" s="12"/>
      <c r="K49" s="12"/>
      <c r="L49" s="12"/>
      <c r="M49" s="12"/>
      <c r="N49" s="16" t="str">
        <f>IF($A49="","",COUNTIF(Criterios_Gherkin!$A$7:$A$206,$A49))</f>
        <v/>
      </c>
      <c r="O49" s="12"/>
      <c r="P49" s="12"/>
      <c r="Q49" s="12"/>
      <c r="R49" s="12"/>
      <c r="S49" s="12"/>
      <c r="T49" s="12"/>
      <c r="U49" s="16" t="str">
        <f t="shared" si="4"/>
        <v/>
      </c>
      <c r="V49" s="12"/>
      <c r="W49" s="12"/>
      <c r="X49" s="12"/>
      <c r="Y49" s="12"/>
      <c r="Z49" s="12"/>
      <c r="AA49" s="16" t="str">
        <f t="shared" si="5"/>
        <v/>
      </c>
    </row>
    <row r="50" spans="1:27" ht="30" customHeight="1" x14ac:dyDescent="0.3">
      <c r="A50" s="12"/>
      <c r="B50" s="12"/>
      <c r="C50" s="12"/>
      <c r="D50" s="12"/>
      <c r="E50" s="12"/>
      <c r="F50" s="12"/>
      <c r="G50" s="1" t="str">
        <f t="shared" si="3"/>
        <v/>
      </c>
      <c r="H50" s="12"/>
      <c r="I50" s="12"/>
      <c r="J50" s="12"/>
      <c r="K50" s="12"/>
      <c r="L50" s="12"/>
      <c r="M50" s="12"/>
      <c r="N50" s="16" t="str">
        <f>IF($A50="","",COUNTIF(Criterios_Gherkin!$A$7:$A$206,$A50))</f>
        <v/>
      </c>
      <c r="O50" s="12"/>
      <c r="P50" s="12"/>
      <c r="Q50" s="12"/>
      <c r="R50" s="12"/>
      <c r="S50" s="12"/>
      <c r="T50" s="12"/>
      <c r="U50" s="16" t="str">
        <f t="shared" si="4"/>
        <v/>
      </c>
      <c r="V50" s="12"/>
      <c r="W50" s="12"/>
      <c r="X50" s="12"/>
      <c r="Y50" s="12"/>
      <c r="Z50" s="12"/>
      <c r="AA50" s="16" t="str">
        <f t="shared" si="5"/>
        <v/>
      </c>
    </row>
    <row r="51" spans="1:27" ht="30" customHeight="1" x14ac:dyDescent="0.3">
      <c r="A51" s="12"/>
      <c r="B51" s="12"/>
      <c r="C51" s="12"/>
      <c r="D51" s="12"/>
      <c r="E51" s="12"/>
      <c r="F51" s="12"/>
      <c r="G51" s="1" t="str">
        <f t="shared" si="3"/>
        <v/>
      </c>
      <c r="H51" s="12"/>
      <c r="I51" s="12"/>
      <c r="J51" s="12"/>
      <c r="K51" s="12"/>
      <c r="L51" s="12"/>
      <c r="M51" s="12"/>
      <c r="N51" s="16" t="str">
        <f>IF($A51="","",COUNTIF(Criterios_Gherkin!$A$7:$A$206,$A51))</f>
        <v/>
      </c>
      <c r="O51" s="12"/>
      <c r="P51" s="12"/>
      <c r="Q51" s="12"/>
      <c r="R51" s="12"/>
      <c r="S51" s="12"/>
      <c r="T51" s="12"/>
      <c r="U51" s="16" t="str">
        <f t="shared" si="4"/>
        <v/>
      </c>
      <c r="V51" s="12"/>
      <c r="W51" s="12"/>
      <c r="X51" s="12"/>
      <c r="Y51" s="12"/>
      <c r="Z51" s="12"/>
      <c r="AA51" s="16" t="str">
        <f t="shared" si="5"/>
        <v/>
      </c>
    </row>
    <row r="52" spans="1:27" ht="30" customHeight="1" x14ac:dyDescent="0.3">
      <c r="A52" s="12"/>
      <c r="B52" s="12"/>
      <c r="C52" s="12"/>
      <c r="D52" s="12"/>
      <c r="E52" s="12"/>
      <c r="F52" s="12"/>
      <c r="G52" s="1" t="str">
        <f t="shared" si="3"/>
        <v/>
      </c>
      <c r="H52" s="12"/>
      <c r="I52" s="12"/>
      <c r="J52" s="12"/>
      <c r="K52" s="12"/>
      <c r="L52" s="12"/>
      <c r="M52" s="12"/>
      <c r="N52" s="16" t="str">
        <f>IF($A52="","",COUNTIF(Criterios_Gherkin!$A$7:$A$206,$A52))</f>
        <v/>
      </c>
      <c r="O52" s="12"/>
      <c r="P52" s="12"/>
      <c r="Q52" s="12"/>
      <c r="R52" s="12"/>
      <c r="S52" s="12"/>
      <c r="T52" s="12"/>
      <c r="U52" s="16" t="str">
        <f t="shared" si="4"/>
        <v/>
      </c>
      <c r="V52" s="12"/>
      <c r="W52" s="12"/>
      <c r="X52" s="12"/>
      <c r="Y52" s="12"/>
      <c r="Z52" s="12"/>
      <c r="AA52" s="16" t="str">
        <f t="shared" si="5"/>
        <v/>
      </c>
    </row>
    <row r="53" spans="1:27" ht="30" customHeight="1" x14ac:dyDescent="0.3">
      <c r="A53" s="12"/>
      <c r="B53" s="12"/>
      <c r="C53" s="12"/>
      <c r="D53" s="12"/>
      <c r="E53" s="12"/>
      <c r="F53" s="12"/>
      <c r="G53" s="1" t="str">
        <f t="shared" si="3"/>
        <v/>
      </c>
      <c r="H53" s="12"/>
      <c r="I53" s="12"/>
      <c r="J53" s="12"/>
      <c r="K53" s="12"/>
      <c r="L53" s="12"/>
      <c r="M53" s="12"/>
      <c r="N53" s="16" t="str">
        <f>IF($A53="","",COUNTIF(Criterios_Gherkin!$A$7:$A$206,$A53))</f>
        <v/>
      </c>
      <c r="O53" s="12"/>
      <c r="P53" s="12"/>
      <c r="Q53" s="12"/>
      <c r="R53" s="12"/>
      <c r="S53" s="12"/>
      <c r="T53" s="12"/>
      <c r="U53" s="16" t="str">
        <f t="shared" si="4"/>
        <v/>
      </c>
      <c r="V53" s="12"/>
      <c r="W53" s="12"/>
      <c r="X53" s="12"/>
      <c r="Y53" s="12"/>
      <c r="Z53" s="12"/>
      <c r="AA53" s="16" t="str">
        <f t="shared" si="5"/>
        <v/>
      </c>
    </row>
    <row r="54" spans="1:27" ht="30" customHeight="1" x14ac:dyDescent="0.3">
      <c r="A54" s="12"/>
      <c r="B54" s="12"/>
      <c r="C54" s="12"/>
      <c r="D54" s="12"/>
      <c r="E54" s="12"/>
      <c r="F54" s="12"/>
      <c r="G54" s="1" t="str">
        <f t="shared" si="3"/>
        <v/>
      </c>
      <c r="H54" s="12"/>
      <c r="I54" s="12"/>
      <c r="J54" s="12"/>
      <c r="K54" s="12"/>
      <c r="L54" s="12"/>
      <c r="M54" s="12"/>
      <c r="N54" s="16" t="str">
        <f>IF($A54="","",COUNTIF(Criterios_Gherkin!$A$7:$A$206,$A54))</f>
        <v/>
      </c>
      <c r="O54" s="12"/>
      <c r="P54" s="12"/>
      <c r="Q54" s="12"/>
      <c r="R54" s="12"/>
      <c r="S54" s="12"/>
      <c r="T54" s="12"/>
      <c r="U54" s="16" t="str">
        <f t="shared" si="4"/>
        <v/>
      </c>
      <c r="V54" s="12"/>
      <c r="W54" s="12"/>
      <c r="X54" s="12"/>
      <c r="Y54" s="12"/>
      <c r="Z54" s="12"/>
      <c r="AA54" s="16" t="str">
        <f t="shared" si="5"/>
        <v/>
      </c>
    </row>
    <row r="55" spans="1:27" ht="30" customHeight="1" x14ac:dyDescent="0.3">
      <c r="A55" s="12"/>
      <c r="B55" s="12"/>
      <c r="C55" s="12"/>
      <c r="D55" s="12"/>
      <c r="E55" s="12"/>
      <c r="F55" s="12"/>
      <c r="G55" s="1" t="str">
        <f t="shared" si="3"/>
        <v/>
      </c>
      <c r="H55" s="12"/>
      <c r="I55" s="12"/>
      <c r="J55" s="12"/>
      <c r="K55" s="12"/>
      <c r="L55" s="12"/>
      <c r="M55" s="12"/>
      <c r="N55" s="16" t="str">
        <f>IF($A55="","",COUNTIF(Criterios_Gherkin!$A$7:$A$206,$A55))</f>
        <v/>
      </c>
      <c r="O55" s="12"/>
      <c r="P55" s="12"/>
      <c r="Q55" s="12"/>
      <c r="R55" s="12"/>
      <c r="S55" s="12"/>
      <c r="T55" s="12"/>
      <c r="U55" s="16" t="str">
        <f t="shared" si="4"/>
        <v/>
      </c>
      <c r="V55" s="12"/>
      <c r="W55" s="12"/>
      <c r="X55" s="12"/>
      <c r="Y55" s="12"/>
      <c r="Z55" s="12"/>
      <c r="AA55" s="16" t="str">
        <f t="shared" si="5"/>
        <v/>
      </c>
    </row>
    <row r="56" spans="1:27" ht="30" customHeight="1" x14ac:dyDescent="0.3">
      <c r="A56" s="12"/>
      <c r="B56" s="12"/>
      <c r="C56" s="12"/>
      <c r="D56" s="12"/>
      <c r="E56" s="12"/>
      <c r="F56" s="12"/>
      <c r="G56" s="1" t="str">
        <f t="shared" si="3"/>
        <v/>
      </c>
      <c r="H56" s="12"/>
      <c r="I56" s="12"/>
      <c r="J56" s="12"/>
      <c r="K56" s="12"/>
      <c r="L56" s="12"/>
      <c r="M56" s="12"/>
      <c r="N56" s="16" t="str">
        <f>IF($A56="","",COUNTIF(Criterios_Gherkin!$A$7:$A$206,$A56))</f>
        <v/>
      </c>
      <c r="O56" s="12"/>
      <c r="P56" s="12"/>
      <c r="Q56" s="12"/>
      <c r="R56" s="12"/>
      <c r="S56" s="12"/>
      <c r="T56" s="12"/>
      <c r="U56" s="16" t="str">
        <f t="shared" si="4"/>
        <v/>
      </c>
      <c r="V56" s="12"/>
      <c r="W56" s="12"/>
      <c r="X56" s="12"/>
      <c r="Y56" s="12"/>
      <c r="Z56" s="12"/>
      <c r="AA56" s="16" t="str">
        <f t="shared" si="5"/>
        <v/>
      </c>
    </row>
    <row r="57" spans="1:27" ht="30" customHeight="1" x14ac:dyDescent="0.3">
      <c r="A57" s="12"/>
      <c r="B57" s="12"/>
      <c r="C57" s="12"/>
      <c r="D57" s="12"/>
      <c r="E57" s="12"/>
      <c r="F57" s="12"/>
      <c r="G57" s="1" t="str">
        <f t="shared" si="3"/>
        <v/>
      </c>
      <c r="H57" s="12"/>
      <c r="I57" s="12"/>
      <c r="J57" s="12"/>
      <c r="K57" s="12"/>
      <c r="L57" s="12"/>
      <c r="M57" s="12"/>
      <c r="N57" s="16" t="str">
        <f>IF($A57="","",COUNTIF(Criterios_Gherkin!$A$7:$A$206,$A57))</f>
        <v/>
      </c>
      <c r="O57" s="12"/>
      <c r="P57" s="12"/>
      <c r="Q57" s="12"/>
      <c r="R57" s="12"/>
      <c r="S57" s="12"/>
      <c r="T57" s="12"/>
      <c r="U57" s="16" t="str">
        <f t="shared" si="4"/>
        <v/>
      </c>
      <c r="V57" s="12"/>
      <c r="W57" s="12"/>
      <c r="X57" s="12"/>
      <c r="Y57" s="12"/>
      <c r="Z57" s="12"/>
      <c r="AA57" s="16" t="str">
        <f t="shared" si="5"/>
        <v/>
      </c>
    </row>
    <row r="58" spans="1:27" ht="30" customHeight="1" x14ac:dyDescent="0.3">
      <c r="A58" s="12"/>
      <c r="B58" s="12"/>
      <c r="C58" s="12"/>
      <c r="D58" s="12"/>
      <c r="E58" s="12"/>
      <c r="F58" s="12"/>
      <c r="G58" s="1" t="str">
        <f t="shared" si="3"/>
        <v/>
      </c>
      <c r="H58" s="12"/>
      <c r="I58" s="12"/>
      <c r="J58" s="12"/>
      <c r="K58" s="12"/>
      <c r="L58" s="12"/>
      <c r="M58" s="12"/>
      <c r="N58" s="16" t="str">
        <f>IF($A58="","",COUNTIF(Criterios_Gherkin!$A$7:$A$206,$A58))</f>
        <v/>
      </c>
      <c r="O58" s="12"/>
      <c r="P58" s="12"/>
      <c r="Q58" s="12"/>
      <c r="R58" s="12"/>
      <c r="S58" s="12"/>
      <c r="T58" s="12"/>
      <c r="U58" s="16" t="str">
        <f t="shared" si="4"/>
        <v/>
      </c>
      <c r="V58" s="12"/>
      <c r="W58" s="12"/>
      <c r="X58" s="12"/>
      <c r="Y58" s="12"/>
      <c r="Z58" s="12"/>
      <c r="AA58" s="16" t="str">
        <f t="shared" si="5"/>
        <v/>
      </c>
    </row>
    <row r="59" spans="1:27" ht="30" customHeight="1" x14ac:dyDescent="0.3">
      <c r="A59" s="12"/>
      <c r="B59" s="12"/>
      <c r="C59" s="12"/>
      <c r="D59" s="12"/>
      <c r="E59" s="12"/>
      <c r="F59" s="12"/>
      <c r="G59" s="1" t="str">
        <f t="shared" si="3"/>
        <v/>
      </c>
      <c r="H59" s="12"/>
      <c r="I59" s="12"/>
      <c r="J59" s="12"/>
      <c r="K59" s="12"/>
      <c r="L59" s="12"/>
      <c r="M59" s="12"/>
      <c r="N59" s="16" t="str">
        <f>IF($A59="","",COUNTIF(Criterios_Gherkin!$A$7:$A$206,$A59))</f>
        <v/>
      </c>
      <c r="O59" s="12"/>
      <c r="P59" s="12"/>
      <c r="Q59" s="12"/>
      <c r="R59" s="12"/>
      <c r="S59" s="12"/>
      <c r="T59" s="12"/>
      <c r="U59" s="16" t="str">
        <f t="shared" si="4"/>
        <v/>
      </c>
      <c r="V59" s="12"/>
      <c r="W59" s="12"/>
      <c r="X59" s="12"/>
      <c r="Y59" s="12"/>
      <c r="Z59" s="12"/>
      <c r="AA59" s="16" t="str">
        <f t="shared" si="5"/>
        <v/>
      </c>
    </row>
    <row r="60" spans="1:27" ht="30" customHeight="1" x14ac:dyDescent="0.3">
      <c r="A60" s="12"/>
      <c r="B60" s="12"/>
      <c r="C60" s="12"/>
      <c r="D60" s="12"/>
      <c r="E60" s="12"/>
      <c r="F60" s="12"/>
      <c r="G60" s="1" t="str">
        <f t="shared" si="3"/>
        <v/>
      </c>
      <c r="H60" s="12"/>
      <c r="I60" s="12"/>
      <c r="J60" s="12"/>
      <c r="K60" s="12"/>
      <c r="L60" s="12"/>
      <c r="M60" s="12"/>
      <c r="N60" s="16" t="str">
        <f>IF($A60="","",COUNTIF(Criterios_Gherkin!$A$7:$A$206,$A60))</f>
        <v/>
      </c>
      <c r="O60" s="12"/>
      <c r="P60" s="12"/>
      <c r="Q60" s="12"/>
      <c r="R60" s="12"/>
      <c r="S60" s="12"/>
      <c r="T60" s="12"/>
      <c r="U60" s="16" t="str">
        <f t="shared" si="4"/>
        <v/>
      </c>
      <c r="V60" s="12"/>
      <c r="W60" s="12"/>
      <c r="X60" s="12"/>
      <c r="Y60" s="12"/>
      <c r="Z60" s="12"/>
      <c r="AA60" s="16" t="str">
        <f t="shared" si="5"/>
        <v/>
      </c>
    </row>
    <row r="61" spans="1:27" ht="30" customHeight="1" x14ac:dyDescent="0.3">
      <c r="A61" s="12"/>
      <c r="B61" s="12"/>
      <c r="C61" s="12"/>
      <c r="D61" s="12"/>
      <c r="E61" s="12"/>
      <c r="F61" s="12"/>
      <c r="G61" s="1" t="str">
        <f t="shared" si="3"/>
        <v/>
      </c>
      <c r="H61" s="12"/>
      <c r="I61" s="12"/>
      <c r="J61" s="12"/>
      <c r="K61" s="12"/>
      <c r="L61" s="12"/>
      <c r="M61" s="12"/>
      <c r="N61" s="16" t="str">
        <f>IF($A61="","",COUNTIF(Criterios_Gherkin!$A$7:$A$206,$A61))</f>
        <v/>
      </c>
      <c r="O61" s="12"/>
      <c r="P61" s="12"/>
      <c r="Q61" s="12"/>
      <c r="R61" s="12"/>
      <c r="S61" s="12"/>
      <c r="T61" s="12"/>
      <c r="U61" s="16" t="str">
        <f t="shared" si="4"/>
        <v/>
      </c>
      <c r="V61" s="12"/>
      <c r="W61" s="12"/>
      <c r="X61" s="12"/>
      <c r="Y61" s="12"/>
      <c r="Z61" s="12"/>
      <c r="AA61" s="16" t="str">
        <f t="shared" si="5"/>
        <v/>
      </c>
    </row>
    <row r="62" spans="1:27" ht="30" customHeight="1" x14ac:dyDescent="0.3">
      <c r="A62" s="12"/>
      <c r="B62" s="12"/>
      <c r="C62" s="12"/>
      <c r="D62" s="12"/>
      <c r="E62" s="12"/>
      <c r="F62" s="12"/>
      <c r="G62" s="1" t="str">
        <f t="shared" si="3"/>
        <v/>
      </c>
      <c r="H62" s="12"/>
      <c r="I62" s="12"/>
      <c r="J62" s="12"/>
      <c r="K62" s="12"/>
      <c r="L62" s="12"/>
      <c r="M62" s="12"/>
      <c r="N62" s="16" t="str">
        <f>IF($A62="","",COUNTIF(Criterios_Gherkin!$A$7:$A$206,$A62))</f>
        <v/>
      </c>
      <c r="O62" s="12"/>
      <c r="P62" s="12"/>
      <c r="Q62" s="12"/>
      <c r="R62" s="12"/>
      <c r="S62" s="12"/>
      <c r="T62" s="12"/>
      <c r="U62" s="16" t="str">
        <f t="shared" si="4"/>
        <v/>
      </c>
      <c r="V62" s="12"/>
      <c r="W62" s="12"/>
      <c r="X62" s="12"/>
      <c r="Y62" s="12"/>
      <c r="Z62" s="12"/>
      <c r="AA62" s="16" t="str">
        <f t="shared" si="5"/>
        <v/>
      </c>
    </row>
    <row r="63" spans="1:27" ht="30" customHeight="1" x14ac:dyDescent="0.3">
      <c r="A63" s="12"/>
      <c r="B63" s="12"/>
      <c r="C63" s="12"/>
      <c r="D63" s="12"/>
      <c r="E63" s="12"/>
      <c r="F63" s="12"/>
      <c r="G63" s="1" t="str">
        <f t="shared" si="3"/>
        <v/>
      </c>
      <c r="H63" s="12"/>
      <c r="I63" s="12"/>
      <c r="J63" s="12"/>
      <c r="K63" s="12"/>
      <c r="L63" s="12"/>
      <c r="M63" s="12"/>
      <c r="N63" s="16" t="str">
        <f>IF($A63="","",COUNTIF(Criterios_Gherkin!$A$7:$A$206,$A63))</f>
        <v/>
      </c>
      <c r="O63" s="12"/>
      <c r="P63" s="12"/>
      <c r="Q63" s="12"/>
      <c r="R63" s="12"/>
      <c r="S63" s="12"/>
      <c r="T63" s="12"/>
      <c r="U63" s="16" t="str">
        <f t="shared" si="4"/>
        <v/>
      </c>
      <c r="V63" s="12"/>
      <c r="W63" s="12"/>
      <c r="X63" s="12"/>
      <c r="Y63" s="12"/>
      <c r="Z63" s="12"/>
      <c r="AA63" s="16" t="str">
        <f t="shared" si="5"/>
        <v/>
      </c>
    </row>
    <row r="64" spans="1:27" ht="30" customHeight="1" x14ac:dyDescent="0.3">
      <c r="A64" s="12"/>
      <c r="B64" s="12"/>
      <c r="C64" s="12"/>
      <c r="D64" s="12"/>
      <c r="E64" s="12"/>
      <c r="F64" s="12"/>
      <c r="G64" s="1" t="str">
        <f t="shared" si="3"/>
        <v/>
      </c>
      <c r="H64" s="12"/>
      <c r="I64" s="12"/>
      <c r="J64" s="12"/>
      <c r="K64" s="12"/>
      <c r="L64" s="12"/>
      <c r="M64" s="12"/>
      <c r="N64" s="16" t="str">
        <f>IF($A64="","",COUNTIF(Criterios_Gherkin!$A$7:$A$206,$A64))</f>
        <v/>
      </c>
      <c r="O64" s="12"/>
      <c r="P64" s="12"/>
      <c r="Q64" s="12"/>
      <c r="R64" s="12"/>
      <c r="S64" s="12"/>
      <c r="T64" s="12"/>
      <c r="U64" s="16" t="str">
        <f t="shared" si="4"/>
        <v/>
      </c>
      <c r="V64" s="12"/>
      <c r="W64" s="12"/>
      <c r="X64" s="12"/>
      <c r="Y64" s="12"/>
      <c r="Z64" s="12"/>
      <c r="AA64" s="16" t="str">
        <f t="shared" si="5"/>
        <v/>
      </c>
    </row>
    <row r="65" spans="1:27" ht="30" customHeight="1" x14ac:dyDescent="0.3">
      <c r="A65" s="12"/>
      <c r="B65" s="12"/>
      <c r="C65" s="12"/>
      <c r="D65" s="12"/>
      <c r="E65" s="12"/>
      <c r="F65" s="12"/>
      <c r="G65" s="1" t="str">
        <f t="shared" si="3"/>
        <v/>
      </c>
      <c r="H65" s="12"/>
      <c r="I65" s="12"/>
      <c r="J65" s="12"/>
      <c r="K65" s="12"/>
      <c r="L65" s="12"/>
      <c r="M65" s="12"/>
      <c r="N65" s="16" t="str">
        <f>IF($A65="","",COUNTIF(Criterios_Gherkin!$A$7:$A$206,$A65))</f>
        <v/>
      </c>
      <c r="O65" s="12"/>
      <c r="P65" s="12"/>
      <c r="Q65" s="12"/>
      <c r="R65" s="12"/>
      <c r="S65" s="12"/>
      <c r="T65" s="12"/>
      <c r="U65" s="16" t="str">
        <f t="shared" si="4"/>
        <v/>
      </c>
      <c r="V65" s="12"/>
      <c r="W65" s="12"/>
      <c r="X65" s="12"/>
      <c r="Y65" s="12"/>
      <c r="Z65" s="12"/>
      <c r="AA65" s="16" t="str">
        <f t="shared" si="5"/>
        <v/>
      </c>
    </row>
    <row r="66" spans="1:27" ht="30" customHeight="1" x14ac:dyDescent="0.3">
      <c r="A66" s="12"/>
      <c r="B66" s="12"/>
      <c r="C66" s="12"/>
      <c r="D66" s="12"/>
      <c r="E66" s="12"/>
      <c r="F66" s="12"/>
      <c r="G66" s="1" t="str">
        <f t="shared" si="3"/>
        <v/>
      </c>
      <c r="H66" s="12"/>
      <c r="I66" s="12"/>
      <c r="J66" s="12"/>
      <c r="K66" s="12"/>
      <c r="L66" s="12"/>
      <c r="M66" s="12"/>
      <c r="N66" s="16" t="str">
        <f>IF($A66="","",COUNTIF(Criterios_Gherkin!$A$7:$A$206,$A66))</f>
        <v/>
      </c>
      <c r="O66" s="12"/>
      <c r="P66" s="12"/>
      <c r="Q66" s="12"/>
      <c r="R66" s="12"/>
      <c r="S66" s="12"/>
      <c r="T66" s="12"/>
      <c r="U66" s="16" t="str">
        <f t="shared" si="4"/>
        <v/>
      </c>
      <c r="V66" s="12"/>
      <c r="W66" s="12"/>
      <c r="X66" s="12"/>
      <c r="Y66" s="12"/>
      <c r="Z66" s="12"/>
      <c r="AA66" s="16" t="str">
        <f t="shared" si="5"/>
        <v/>
      </c>
    </row>
    <row r="67" spans="1:27" ht="30" customHeight="1" x14ac:dyDescent="0.3">
      <c r="A67" s="12"/>
      <c r="B67" s="12"/>
      <c r="C67" s="12"/>
      <c r="D67" s="12"/>
      <c r="E67" s="12"/>
      <c r="F67" s="12"/>
      <c r="G67" s="1" t="str">
        <f t="shared" si="3"/>
        <v/>
      </c>
      <c r="H67" s="12"/>
      <c r="I67" s="12"/>
      <c r="J67" s="12"/>
      <c r="K67" s="12"/>
      <c r="L67" s="12"/>
      <c r="M67" s="12"/>
      <c r="N67" s="16" t="str">
        <f>IF($A67="","",COUNTIF(Criterios_Gherkin!$A$7:$A$206,$A67))</f>
        <v/>
      </c>
      <c r="O67" s="12"/>
      <c r="P67" s="12"/>
      <c r="Q67" s="12"/>
      <c r="R67" s="12"/>
      <c r="S67" s="12"/>
      <c r="T67" s="12"/>
      <c r="U67" s="16" t="str">
        <f t="shared" si="4"/>
        <v/>
      </c>
      <c r="V67" s="12"/>
      <c r="W67" s="12"/>
      <c r="X67" s="12"/>
      <c r="Y67" s="12"/>
      <c r="Z67" s="12"/>
      <c r="AA67" s="16" t="str">
        <f t="shared" si="5"/>
        <v/>
      </c>
    </row>
    <row r="68" spans="1:27" ht="30" customHeight="1" x14ac:dyDescent="0.3">
      <c r="A68" s="12"/>
      <c r="B68" s="12"/>
      <c r="C68" s="12"/>
      <c r="D68" s="12"/>
      <c r="E68" s="12"/>
      <c r="F68" s="12"/>
      <c r="G68" s="1" t="str">
        <f t="shared" si="3"/>
        <v/>
      </c>
      <c r="H68" s="12"/>
      <c r="I68" s="12"/>
      <c r="J68" s="12"/>
      <c r="K68" s="12"/>
      <c r="L68" s="12"/>
      <c r="M68" s="12"/>
      <c r="N68" s="16" t="str">
        <f>IF($A68="","",COUNTIF(Criterios_Gherkin!$A$7:$A$206,$A68))</f>
        <v/>
      </c>
      <c r="O68" s="12"/>
      <c r="P68" s="12"/>
      <c r="Q68" s="12"/>
      <c r="R68" s="12"/>
      <c r="S68" s="12"/>
      <c r="T68" s="12"/>
      <c r="U68" s="16" t="str">
        <f t="shared" si="4"/>
        <v/>
      </c>
      <c r="V68" s="12"/>
      <c r="W68" s="12"/>
      <c r="X68" s="12"/>
      <c r="Y68" s="12"/>
      <c r="Z68" s="12"/>
      <c r="AA68" s="16" t="str">
        <f t="shared" si="5"/>
        <v/>
      </c>
    </row>
    <row r="69" spans="1:27" ht="30" customHeight="1" x14ac:dyDescent="0.3">
      <c r="A69" s="12"/>
      <c r="B69" s="12"/>
      <c r="C69" s="12"/>
      <c r="D69" s="12"/>
      <c r="E69" s="12"/>
      <c r="F69" s="12"/>
      <c r="G69" s="1" t="str">
        <f t="shared" si="3"/>
        <v/>
      </c>
      <c r="H69" s="12"/>
      <c r="I69" s="12"/>
      <c r="J69" s="12"/>
      <c r="K69" s="12"/>
      <c r="L69" s="12"/>
      <c r="M69" s="12"/>
      <c r="N69" s="16" t="str">
        <f>IF($A69="","",COUNTIF(Criterios_Gherkin!$A$7:$A$206,$A69))</f>
        <v/>
      </c>
      <c r="O69" s="12"/>
      <c r="P69" s="12"/>
      <c r="Q69" s="12"/>
      <c r="R69" s="12"/>
      <c r="S69" s="12"/>
      <c r="T69" s="12"/>
      <c r="U69" s="16" t="str">
        <f t="shared" si="4"/>
        <v/>
      </c>
      <c r="V69" s="12"/>
      <c r="W69" s="12"/>
      <c r="X69" s="12"/>
      <c r="Y69" s="12"/>
      <c r="Z69" s="12"/>
      <c r="AA69" s="16" t="str">
        <f t="shared" si="5"/>
        <v/>
      </c>
    </row>
    <row r="70" spans="1:27" ht="30" customHeight="1" x14ac:dyDescent="0.3">
      <c r="A70" s="12"/>
      <c r="B70" s="12"/>
      <c r="C70" s="12"/>
      <c r="D70" s="12"/>
      <c r="E70" s="12"/>
      <c r="F70" s="12"/>
      <c r="G70" s="1" t="str">
        <f t="shared" si="3"/>
        <v/>
      </c>
      <c r="H70" s="12"/>
      <c r="I70" s="12"/>
      <c r="J70" s="12"/>
      <c r="K70" s="12"/>
      <c r="L70" s="12"/>
      <c r="M70" s="12"/>
      <c r="N70" s="16" t="str">
        <f>IF($A70="","",COUNTIF(Criterios_Gherkin!$A$7:$A$206,$A70))</f>
        <v/>
      </c>
      <c r="O70" s="12"/>
      <c r="P70" s="12"/>
      <c r="Q70" s="12"/>
      <c r="R70" s="12"/>
      <c r="S70" s="12"/>
      <c r="T70" s="12"/>
      <c r="U70" s="16" t="str">
        <f t="shared" si="4"/>
        <v/>
      </c>
      <c r="V70" s="12"/>
      <c r="W70" s="12"/>
      <c r="X70" s="12"/>
      <c r="Y70" s="12"/>
      <c r="Z70" s="12"/>
      <c r="AA70" s="16" t="str">
        <f t="shared" si="5"/>
        <v/>
      </c>
    </row>
    <row r="71" spans="1:27" ht="30" customHeight="1" x14ac:dyDescent="0.3">
      <c r="A71" s="12"/>
      <c r="B71" s="12"/>
      <c r="C71" s="12"/>
      <c r="D71" s="12"/>
      <c r="E71" s="12"/>
      <c r="F71" s="12"/>
      <c r="G71" s="1" t="str">
        <f t="shared" ref="G71:G102" si="6">IF($A71="","","Como "&amp;D71&amp;", quiero "&amp;E71&amp;", para "&amp;F71&amp;".")</f>
        <v/>
      </c>
      <c r="H71" s="12"/>
      <c r="I71" s="12"/>
      <c r="J71" s="12"/>
      <c r="K71" s="12"/>
      <c r="L71" s="12"/>
      <c r="M71" s="12"/>
      <c r="N71" s="16" t="str">
        <f>IF($A71="","",COUNTIF(Criterios_Gherkin!$A$7:$A$206,$A71))</f>
        <v/>
      </c>
      <c r="O71" s="12"/>
      <c r="P71" s="12"/>
      <c r="Q71" s="12"/>
      <c r="R71" s="12"/>
      <c r="S71" s="12"/>
      <c r="T71" s="12"/>
      <c r="U71" s="16" t="str">
        <f t="shared" ref="U71:U107" si="7">IF($A71="","",IF(COUNTIF($O71:$T71,"Sí")=6,"Sí","No"))</f>
        <v/>
      </c>
      <c r="V71" s="12"/>
      <c r="W71" s="12"/>
      <c r="X71" s="12"/>
      <c r="Y71" s="12"/>
      <c r="Z71" s="12"/>
      <c r="AA71" s="16" t="str">
        <f t="shared" ref="AA71:AA107" si="8">IF($A71="","",IF(COUNTIF($V71:$Z71,"Sí")=5,"Sí","No"))</f>
        <v/>
      </c>
    </row>
    <row r="72" spans="1:27" ht="30" customHeight="1" x14ac:dyDescent="0.3">
      <c r="A72" s="12"/>
      <c r="B72" s="12"/>
      <c r="C72" s="12"/>
      <c r="D72" s="12"/>
      <c r="E72" s="12"/>
      <c r="F72" s="12"/>
      <c r="G72" s="1" t="str">
        <f t="shared" si="6"/>
        <v/>
      </c>
      <c r="H72" s="12"/>
      <c r="I72" s="12"/>
      <c r="J72" s="12"/>
      <c r="K72" s="12"/>
      <c r="L72" s="12"/>
      <c r="M72" s="12"/>
      <c r="N72" s="16" t="str">
        <f>IF($A72="","",COUNTIF(Criterios_Gherkin!$A$7:$A$206,$A72))</f>
        <v/>
      </c>
      <c r="O72" s="12"/>
      <c r="P72" s="12"/>
      <c r="Q72" s="12"/>
      <c r="R72" s="12"/>
      <c r="S72" s="12"/>
      <c r="T72" s="12"/>
      <c r="U72" s="16" t="str">
        <f t="shared" si="7"/>
        <v/>
      </c>
      <c r="V72" s="12"/>
      <c r="W72" s="12"/>
      <c r="X72" s="12"/>
      <c r="Y72" s="12"/>
      <c r="Z72" s="12"/>
      <c r="AA72" s="16" t="str">
        <f t="shared" si="8"/>
        <v/>
      </c>
    </row>
    <row r="73" spans="1:27" ht="30" customHeight="1" x14ac:dyDescent="0.3">
      <c r="A73" s="12"/>
      <c r="B73" s="12"/>
      <c r="C73" s="12"/>
      <c r="D73" s="12"/>
      <c r="E73" s="12"/>
      <c r="F73" s="12"/>
      <c r="G73" s="1" t="str">
        <f t="shared" si="6"/>
        <v/>
      </c>
      <c r="H73" s="12"/>
      <c r="I73" s="12"/>
      <c r="J73" s="12"/>
      <c r="K73" s="12"/>
      <c r="L73" s="12"/>
      <c r="M73" s="12"/>
      <c r="N73" s="16" t="str">
        <f>IF($A73="","",COUNTIF(Criterios_Gherkin!$A$7:$A$206,$A73))</f>
        <v/>
      </c>
      <c r="O73" s="12"/>
      <c r="P73" s="12"/>
      <c r="Q73" s="12"/>
      <c r="R73" s="12"/>
      <c r="S73" s="12"/>
      <c r="T73" s="12"/>
      <c r="U73" s="16" t="str">
        <f t="shared" si="7"/>
        <v/>
      </c>
      <c r="V73" s="12"/>
      <c r="W73" s="12"/>
      <c r="X73" s="12"/>
      <c r="Y73" s="12"/>
      <c r="Z73" s="12"/>
      <c r="AA73" s="16" t="str">
        <f t="shared" si="8"/>
        <v/>
      </c>
    </row>
    <row r="74" spans="1:27" ht="30" customHeight="1" x14ac:dyDescent="0.3">
      <c r="A74" s="12"/>
      <c r="B74" s="12"/>
      <c r="C74" s="12"/>
      <c r="D74" s="12"/>
      <c r="E74" s="12"/>
      <c r="F74" s="12"/>
      <c r="G74" s="1" t="str">
        <f t="shared" si="6"/>
        <v/>
      </c>
      <c r="H74" s="12"/>
      <c r="I74" s="12"/>
      <c r="J74" s="12"/>
      <c r="K74" s="12"/>
      <c r="L74" s="12"/>
      <c r="M74" s="12"/>
      <c r="N74" s="16" t="str">
        <f>IF($A74="","",COUNTIF(Criterios_Gherkin!$A$7:$A$206,$A74))</f>
        <v/>
      </c>
      <c r="O74" s="12"/>
      <c r="P74" s="12"/>
      <c r="Q74" s="12"/>
      <c r="R74" s="12"/>
      <c r="S74" s="12"/>
      <c r="T74" s="12"/>
      <c r="U74" s="16" t="str">
        <f t="shared" si="7"/>
        <v/>
      </c>
      <c r="V74" s="12"/>
      <c r="W74" s="12"/>
      <c r="X74" s="12"/>
      <c r="Y74" s="12"/>
      <c r="Z74" s="12"/>
      <c r="AA74" s="16" t="str">
        <f t="shared" si="8"/>
        <v/>
      </c>
    </row>
    <row r="75" spans="1:27" ht="30" customHeight="1" x14ac:dyDescent="0.3">
      <c r="A75" s="12"/>
      <c r="B75" s="12"/>
      <c r="C75" s="12"/>
      <c r="D75" s="12"/>
      <c r="E75" s="12"/>
      <c r="F75" s="12"/>
      <c r="G75" s="1" t="str">
        <f t="shared" si="6"/>
        <v/>
      </c>
      <c r="H75" s="12"/>
      <c r="I75" s="12"/>
      <c r="J75" s="12"/>
      <c r="K75" s="12"/>
      <c r="L75" s="12"/>
      <c r="M75" s="12"/>
      <c r="N75" s="16" t="str">
        <f>IF($A75="","",COUNTIF(Criterios_Gherkin!$A$7:$A$206,$A75))</f>
        <v/>
      </c>
      <c r="O75" s="12"/>
      <c r="P75" s="12"/>
      <c r="Q75" s="12"/>
      <c r="R75" s="12"/>
      <c r="S75" s="12"/>
      <c r="T75" s="12"/>
      <c r="U75" s="16" t="str">
        <f t="shared" si="7"/>
        <v/>
      </c>
      <c r="V75" s="12"/>
      <c r="W75" s="12"/>
      <c r="X75" s="12"/>
      <c r="Y75" s="12"/>
      <c r="Z75" s="12"/>
      <c r="AA75" s="16" t="str">
        <f t="shared" si="8"/>
        <v/>
      </c>
    </row>
    <row r="76" spans="1:27" ht="30" customHeight="1" x14ac:dyDescent="0.3">
      <c r="A76" s="12"/>
      <c r="B76" s="12"/>
      <c r="C76" s="12"/>
      <c r="D76" s="12"/>
      <c r="E76" s="12"/>
      <c r="F76" s="12"/>
      <c r="G76" s="1" t="str">
        <f t="shared" si="6"/>
        <v/>
      </c>
      <c r="H76" s="12"/>
      <c r="I76" s="12"/>
      <c r="J76" s="12"/>
      <c r="K76" s="12"/>
      <c r="L76" s="12"/>
      <c r="M76" s="12"/>
      <c r="N76" s="16" t="str">
        <f>IF($A76="","",COUNTIF(Criterios_Gherkin!$A$7:$A$206,$A76))</f>
        <v/>
      </c>
      <c r="O76" s="12"/>
      <c r="P76" s="12"/>
      <c r="Q76" s="12"/>
      <c r="R76" s="12"/>
      <c r="S76" s="12"/>
      <c r="T76" s="12"/>
      <c r="U76" s="16" t="str">
        <f t="shared" si="7"/>
        <v/>
      </c>
      <c r="V76" s="12"/>
      <c r="W76" s="12"/>
      <c r="X76" s="12"/>
      <c r="Y76" s="12"/>
      <c r="Z76" s="12"/>
      <c r="AA76" s="16" t="str">
        <f t="shared" si="8"/>
        <v/>
      </c>
    </row>
    <row r="77" spans="1:27" ht="30" customHeight="1" x14ac:dyDescent="0.3">
      <c r="A77" s="12"/>
      <c r="B77" s="12"/>
      <c r="C77" s="12"/>
      <c r="D77" s="12"/>
      <c r="E77" s="12"/>
      <c r="F77" s="12"/>
      <c r="G77" s="1" t="str">
        <f t="shared" si="6"/>
        <v/>
      </c>
      <c r="H77" s="12"/>
      <c r="I77" s="12"/>
      <c r="J77" s="12"/>
      <c r="K77" s="12"/>
      <c r="L77" s="12"/>
      <c r="M77" s="12"/>
      <c r="N77" s="16" t="str">
        <f>IF($A77="","",COUNTIF(Criterios_Gherkin!$A$7:$A$206,$A77))</f>
        <v/>
      </c>
      <c r="O77" s="12"/>
      <c r="P77" s="12"/>
      <c r="Q77" s="12"/>
      <c r="R77" s="12"/>
      <c r="S77" s="12"/>
      <c r="T77" s="12"/>
      <c r="U77" s="16" t="str">
        <f t="shared" si="7"/>
        <v/>
      </c>
      <c r="V77" s="12"/>
      <c r="W77" s="12"/>
      <c r="X77" s="12"/>
      <c r="Y77" s="12"/>
      <c r="Z77" s="12"/>
      <c r="AA77" s="16" t="str">
        <f t="shared" si="8"/>
        <v/>
      </c>
    </row>
    <row r="78" spans="1:27" ht="30" customHeight="1" x14ac:dyDescent="0.3">
      <c r="A78" s="12"/>
      <c r="B78" s="12"/>
      <c r="C78" s="12"/>
      <c r="D78" s="12"/>
      <c r="E78" s="12"/>
      <c r="F78" s="12"/>
      <c r="G78" s="1" t="str">
        <f t="shared" si="6"/>
        <v/>
      </c>
      <c r="H78" s="12"/>
      <c r="I78" s="12"/>
      <c r="J78" s="12"/>
      <c r="K78" s="12"/>
      <c r="L78" s="12"/>
      <c r="M78" s="12"/>
      <c r="N78" s="16" t="str">
        <f>IF($A78="","",COUNTIF(Criterios_Gherkin!$A$7:$A$206,$A78))</f>
        <v/>
      </c>
      <c r="O78" s="12"/>
      <c r="P78" s="12"/>
      <c r="Q78" s="12"/>
      <c r="R78" s="12"/>
      <c r="S78" s="12"/>
      <c r="T78" s="12"/>
      <c r="U78" s="16" t="str">
        <f t="shared" si="7"/>
        <v/>
      </c>
      <c r="V78" s="12"/>
      <c r="W78" s="12"/>
      <c r="X78" s="12"/>
      <c r="Y78" s="12"/>
      <c r="Z78" s="12"/>
      <c r="AA78" s="16" t="str">
        <f t="shared" si="8"/>
        <v/>
      </c>
    </row>
    <row r="79" spans="1:27" ht="30" customHeight="1" x14ac:dyDescent="0.3">
      <c r="A79" s="12"/>
      <c r="B79" s="12"/>
      <c r="C79" s="12"/>
      <c r="D79" s="12"/>
      <c r="E79" s="12"/>
      <c r="F79" s="12"/>
      <c r="G79" s="1" t="str">
        <f t="shared" si="6"/>
        <v/>
      </c>
      <c r="H79" s="12"/>
      <c r="I79" s="12"/>
      <c r="J79" s="12"/>
      <c r="K79" s="12"/>
      <c r="L79" s="12"/>
      <c r="M79" s="12"/>
      <c r="N79" s="16" t="str">
        <f>IF($A79="","",COUNTIF(Criterios_Gherkin!$A$7:$A$206,$A79))</f>
        <v/>
      </c>
      <c r="O79" s="12"/>
      <c r="P79" s="12"/>
      <c r="Q79" s="12"/>
      <c r="R79" s="12"/>
      <c r="S79" s="12"/>
      <c r="T79" s="12"/>
      <c r="U79" s="16" t="str">
        <f t="shared" si="7"/>
        <v/>
      </c>
      <c r="V79" s="12"/>
      <c r="W79" s="12"/>
      <c r="X79" s="12"/>
      <c r="Y79" s="12"/>
      <c r="Z79" s="12"/>
      <c r="AA79" s="16" t="str">
        <f t="shared" si="8"/>
        <v/>
      </c>
    </row>
    <row r="80" spans="1:27" ht="30" customHeight="1" x14ac:dyDescent="0.3">
      <c r="A80" s="12"/>
      <c r="B80" s="12"/>
      <c r="C80" s="12"/>
      <c r="D80" s="12"/>
      <c r="E80" s="12"/>
      <c r="F80" s="12"/>
      <c r="G80" s="1" t="str">
        <f t="shared" si="6"/>
        <v/>
      </c>
      <c r="H80" s="12"/>
      <c r="I80" s="12"/>
      <c r="J80" s="12"/>
      <c r="K80" s="12"/>
      <c r="L80" s="12"/>
      <c r="M80" s="12"/>
      <c r="N80" s="16" t="str">
        <f>IF($A80="","",COUNTIF(Criterios_Gherkin!$A$7:$A$206,$A80))</f>
        <v/>
      </c>
      <c r="O80" s="12"/>
      <c r="P80" s="12"/>
      <c r="Q80" s="12"/>
      <c r="R80" s="12"/>
      <c r="S80" s="12"/>
      <c r="T80" s="12"/>
      <c r="U80" s="16" t="str">
        <f t="shared" si="7"/>
        <v/>
      </c>
      <c r="V80" s="12"/>
      <c r="W80" s="12"/>
      <c r="X80" s="12"/>
      <c r="Y80" s="12"/>
      <c r="Z80" s="12"/>
      <c r="AA80" s="16" t="str">
        <f t="shared" si="8"/>
        <v/>
      </c>
    </row>
    <row r="81" spans="1:27" ht="30" customHeight="1" x14ac:dyDescent="0.3">
      <c r="A81" s="12"/>
      <c r="B81" s="12"/>
      <c r="C81" s="12"/>
      <c r="D81" s="12"/>
      <c r="E81" s="12"/>
      <c r="F81" s="12"/>
      <c r="G81" s="1" t="str">
        <f t="shared" si="6"/>
        <v/>
      </c>
      <c r="H81" s="12"/>
      <c r="I81" s="12"/>
      <c r="J81" s="12"/>
      <c r="K81" s="12"/>
      <c r="L81" s="12"/>
      <c r="M81" s="12"/>
      <c r="N81" s="16" t="str">
        <f>IF($A81="","",COUNTIF(Criterios_Gherkin!$A$7:$A$206,$A81))</f>
        <v/>
      </c>
      <c r="O81" s="12"/>
      <c r="P81" s="12"/>
      <c r="Q81" s="12"/>
      <c r="R81" s="12"/>
      <c r="S81" s="12"/>
      <c r="T81" s="12"/>
      <c r="U81" s="16" t="str">
        <f t="shared" si="7"/>
        <v/>
      </c>
      <c r="V81" s="12"/>
      <c r="W81" s="12"/>
      <c r="X81" s="12"/>
      <c r="Y81" s="12"/>
      <c r="Z81" s="12"/>
      <c r="AA81" s="16" t="str">
        <f t="shared" si="8"/>
        <v/>
      </c>
    </row>
    <row r="82" spans="1:27" ht="30" customHeight="1" x14ac:dyDescent="0.3">
      <c r="A82" s="12"/>
      <c r="B82" s="12"/>
      <c r="C82" s="12"/>
      <c r="D82" s="12"/>
      <c r="E82" s="12"/>
      <c r="F82" s="12"/>
      <c r="G82" s="1" t="str">
        <f t="shared" si="6"/>
        <v/>
      </c>
      <c r="H82" s="12"/>
      <c r="I82" s="12"/>
      <c r="J82" s="12"/>
      <c r="K82" s="12"/>
      <c r="L82" s="12"/>
      <c r="M82" s="12"/>
      <c r="N82" s="16" t="str">
        <f>IF($A82="","",COUNTIF(Criterios_Gherkin!$A$7:$A$206,$A82))</f>
        <v/>
      </c>
      <c r="O82" s="12"/>
      <c r="P82" s="12"/>
      <c r="Q82" s="12"/>
      <c r="R82" s="12"/>
      <c r="S82" s="12"/>
      <c r="T82" s="12"/>
      <c r="U82" s="16" t="str">
        <f t="shared" si="7"/>
        <v/>
      </c>
      <c r="V82" s="12"/>
      <c r="W82" s="12"/>
      <c r="X82" s="12"/>
      <c r="Y82" s="12"/>
      <c r="Z82" s="12"/>
      <c r="AA82" s="16" t="str">
        <f t="shared" si="8"/>
        <v/>
      </c>
    </row>
    <row r="83" spans="1:27" ht="30" customHeight="1" x14ac:dyDescent="0.3">
      <c r="A83" s="12"/>
      <c r="B83" s="12"/>
      <c r="C83" s="12"/>
      <c r="D83" s="12"/>
      <c r="E83" s="12"/>
      <c r="F83" s="12"/>
      <c r="G83" s="1" t="str">
        <f t="shared" si="6"/>
        <v/>
      </c>
      <c r="H83" s="12"/>
      <c r="I83" s="12"/>
      <c r="J83" s="12"/>
      <c r="K83" s="12"/>
      <c r="L83" s="12"/>
      <c r="M83" s="12"/>
      <c r="N83" s="16" t="str">
        <f>IF($A83="","",COUNTIF(Criterios_Gherkin!$A$7:$A$206,$A83))</f>
        <v/>
      </c>
      <c r="O83" s="12"/>
      <c r="P83" s="12"/>
      <c r="Q83" s="12"/>
      <c r="R83" s="12"/>
      <c r="S83" s="12"/>
      <c r="T83" s="12"/>
      <c r="U83" s="16" t="str">
        <f t="shared" si="7"/>
        <v/>
      </c>
      <c r="V83" s="12"/>
      <c r="W83" s="12"/>
      <c r="X83" s="12"/>
      <c r="Y83" s="12"/>
      <c r="Z83" s="12"/>
      <c r="AA83" s="16" t="str">
        <f t="shared" si="8"/>
        <v/>
      </c>
    </row>
    <row r="84" spans="1:27" ht="30" customHeight="1" x14ac:dyDescent="0.3">
      <c r="A84" s="12"/>
      <c r="B84" s="12"/>
      <c r="C84" s="12"/>
      <c r="D84" s="12"/>
      <c r="E84" s="12"/>
      <c r="F84" s="12"/>
      <c r="G84" s="1" t="str">
        <f t="shared" si="6"/>
        <v/>
      </c>
      <c r="H84" s="12"/>
      <c r="I84" s="12"/>
      <c r="J84" s="12"/>
      <c r="K84" s="12"/>
      <c r="L84" s="12"/>
      <c r="M84" s="12"/>
      <c r="N84" s="16" t="str">
        <f>IF($A84="","",COUNTIF(Criterios_Gherkin!$A$7:$A$206,$A84))</f>
        <v/>
      </c>
      <c r="O84" s="12"/>
      <c r="P84" s="12"/>
      <c r="Q84" s="12"/>
      <c r="R84" s="12"/>
      <c r="S84" s="12"/>
      <c r="T84" s="12"/>
      <c r="U84" s="16" t="str">
        <f t="shared" si="7"/>
        <v/>
      </c>
      <c r="V84" s="12"/>
      <c r="W84" s="12"/>
      <c r="X84" s="12"/>
      <c r="Y84" s="12"/>
      <c r="Z84" s="12"/>
      <c r="AA84" s="16" t="str">
        <f t="shared" si="8"/>
        <v/>
      </c>
    </row>
    <row r="85" spans="1:27" ht="30" customHeight="1" x14ac:dyDescent="0.3">
      <c r="A85" s="12"/>
      <c r="B85" s="12"/>
      <c r="C85" s="12"/>
      <c r="D85" s="12"/>
      <c r="E85" s="12"/>
      <c r="F85" s="12"/>
      <c r="G85" s="1" t="str">
        <f t="shared" si="6"/>
        <v/>
      </c>
      <c r="H85" s="12"/>
      <c r="I85" s="12"/>
      <c r="J85" s="12"/>
      <c r="K85" s="12"/>
      <c r="L85" s="12"/>
      <c r="M85" s="12"/>
      <c r="N85" s="16" t="str">
        <f>IF($A85="","",COUNTIF(Criterios_Gherkin!$A$7:$A$206,$A85))</f>
        <v/>
      </c>
      <c r="O85" s="12"/>
      <c r="P85" s="12"/>
      <c r="Q85" s="12"/>
      <c r="R85" s="12"/>
      <c r="S85" s="12"/>
      <c r="T85" s="12"/>
      <c r="U85" s="16" t="str">
        <f t="shared" si="7"/>
        <v/>
      </c>
      <c r="V85" s="12"/>
      <c r="W85" s="12"/>
      <c r="X85" s="12"/>
      <c r="Y85" s="12"/>
      <c r="Z85" s="12"/>
      <c r="AA85" s="16" t="str">
        <f t="shared" si="8"/>
        <v/>
      </c>
    </row>
    <row r="86" spans="1:27" ht="30" customHeight="1" x14ac:dyDescent="0.3">
      <c r="A86" s="12"/>
      <c r="B86" s="12"/>
      <c r="C86" s="12"/>
      <c r="D86" s="12"/>
      <c r="E86" s="12"/>
      <c r="F86" s="12"/>
      <c r="G86" s="1" t="str">
        <f t="shared" si="6"/>
        <v/>
      </c>
      <c r="H86" s="12"/>
      <c r="I86" s="12"/>
      <c r="J86" s="12"/>
      <c r="K86" s="12"/>
      <c r="L86" s="12"/>
      <c r="M86" s="12"/>
      <c r="N86" s="16" t="str">
        <f>IF($A86="","",COUNTIF(Criterios_Gherkin!$A$7:$A$206,$A86))</f>
        <v/>
      </c>
      <c r="O86" s="12"/>
      <c r="P86" s="12"/>
      <c r="Q86" s="12"/>
      <c r="R86" s="12"/>
      <c r="S86" s="12"/>
      <c r="T86" s="12"/>
      <c r="U86" s="16" t="str">
        <f t="shared" si="7"/>
        <v/>
      </c>
      <c r="V86" s="12"/>
      <c r="W86" s="12"/>
      <c r="X86" s="12"/>
      <c r="Y86" s="12"/>
      <c r="Z86" s="12"/>
      <c r="AA86" s="16" t="str">
        <f t="shared" si="8"/>
        <v/>
      </c>
    </row>
    <row r="87" spans="1:27" ht="30" customHeight="1" x14ac:dyDescent="0.3">
      <c r="A87" s="12"/>
      <c r="B87" s="12"/>
      <c r="C87" s="12"/>
      <c r="D87" s="12"/>
      <c r="E87" s="12"/>
      <c r="F87" s="12"/>
      <c r="G87" s="1" t="str">
        <f t="shared" si="6"/>
        <v/>
      </c>
      <c r="H87" s="12"/>
      <c r="I87" s="12"/>
      <c r="J87" s="12"/>
      <c r="K87" s="12"/>
      <c r="L87" s="12"/>
      <c r="M87" s="12"/>
      <c r="N87" s="16" t="str">
        <f>IF($A87="","",COUNTIF(Criterios_Gherkin!$A$7:$A$206,$A87))</f>
        <v/>
      </c>
      <c r="O87" s="12"/>
      <c r="P87" s="12"/>
      <c r="Q87" s="12"/>
      <c r="R87" s="12"/>
      <c r="S87" s="12"/>
      <c r="T87" s="12"/>
      <c r="U87" s="16" t="str">
        <f t="shared" si="7"/>
        <v/>
      </c>
      <c r="V87" s="12"/>
      <c r="W87" s="12"/>
      <c r="X87" s="12"/>
      <c r="Y87" s="12"/>
      <c r="Z87" s="12"/>
      <c r="AA87" s="16" t="str">
        <f t="shared" si="8"/>
        <v/>
      </c>
    </row>
    <row r="88" spans="1:27" ht="30" customHeight="1" x14ac:dyDescent="0.3">
      <c r="A88" s="12"/>
      <c r="B88" s="12"/>
      <c r="C88" s="12"/>
      <c r="D88" s="12"/>
      <c r="E88" s="12"/>
      <c r="F88" s="12"/>
      <c r="G88" s="1" t="str">
        <f t="shared" si="6"/>
        <v/>
      </c>
      <c r="H88" s="12"/>
      <c r="I88" s="12"/>
      <c r="J88" s="12"/>
      <c r="K88" s="12"/>
      <c r="L88" s="12"/>
      <c r="M88" s="12"/>
      <c r="N88" s="16" t="str">
        <f>IF($A88="","",COUNTIF(Criterios_Gherkin!$A$7:$A$206,$A88))</f>
        <v/>
      </c>
      <c r="O88" s="12"/>
      <c r="P88" s="12"/>
      <c r="Q88" s="12"/>
      <c r="R88" s="12"/>
      <c r="S88" s="12"/>
      <c r="T88" s="12"/>
      <c r="U88" s="16" t="str">
        <f t="shared" si="7"/>
        <v/>
      </c>
      <c r="V88" s="12"/>
      <c r="W88" s="12"/>
      <c r="X88" s="12"/>
      <c r="Y88" s="12"/>
      <c r="Z88" s="12"/>
      <c r="AA88" s="16" t="str">
        <f t="shared" si="8"/>
        <v/>
      </c>
    </row>
    <row r="89" spans="1:27" ht="30" customHeight="1" x14ac:dyDescent="0.3">
      <c r="A89" s="12"/>
      <c r="B89" s="12"/>
      <c r="C89" s="12"/>
      <c r="D89" s="12"/>
      <c r="E89" s="12"/>
      <c r="F89" s="12"/>
      <c r="G89" s="1" t="str">
        <f t="shared" si="6"/>
        <v/>
      </c>
      <c r="H89" s="12"/>
      <c r="I89" s="12"/>
      <c r="J89" s="12"/>
      <c r="K89" s="12"/>
      <c r="L89" s="12"/>
      <c r="M89" s="12"/>
      <c r="N89" s="16" t="str">
        <f>IF($A89="","",COUNTIF(Criterios_Gherkin!$A$7:$A$206,$A89))</f>
        <v/>
      </c>
      <c r="O89" s="12"/>
      <c r="P89" s="12"/>
      <c r="Q89" s="12"/>
      <c r="R89" s="12"/>
      <c r="S89" s="12"/>
      <c r="T89" s="12"/>
      <c r="U89" s="16" t="str">
        <f t="shared" si="7"/>
        <v/>
      </c>
      <c r="V89" s="12"/>
      <c r="W89" s="12"/>
      <c r="X89" s="12"/>
      <c r="Y89" s="12"/>
      <c r="Z89" s="12"/>
      <c r="AA89" s="16" t="str">
        <f t="shared" si="8"/>
        <v/>
      </c>
    </row>
    <row r="90" spans="1:27" ht="30" customHeight="1" x14ac:dyDescent="0.3">
      <c r="A90" s="12"/>
      <c r="B90" s="12"/>
      <c r="C90" s="12"/>
      <c r="D90" s="12"/>
      <c r="E90" s="12"/>
      <c r="F90" s="12"/>
      <c r="G90" s="1" t="str">
        <f t="shared" si="6"/>
        <v/>
      </c>
      <c r="H90" s="12"/>
      <c r="I90" s="12"/>
      <c r="J90" s="12"/>
      <c r="K90" s="12"/>
      <c r="L90" s="12"/>
      <c r="M90" s="12"/>
      <c r="N90" s="16" t="str">
        <f>IF($A90="","",COUNTIF(Criterios_Gherkin!$A$7:$A$206,$A90))</f>
        <v/>
      </c>
      <c r="O90" s="12"/>
      <c r="P90" s="12"/>
      <c r="Q90" s="12"/>
      <c r="R90" s="12"/>
      <c r="S90" s="12"/>
      <c r="T90" s="12"/>
      <c r="U90" s="16" t="str">
        <f t="shared" si="7"/>
        <v/>
      </c>
      <c r="V90" s="12"/>
      <c r="W90" s="12"/>
      <c r="X90" s="12"/>
      <c r="Y90" s="12"/>
      <c r="Z90" s="12"/>
      <c r="AA90" s="16" t="str">
        <f t="shared" si="8"/>
        <v/>
      </c>
    </row>
    <row r="91" spans="1:27" ht="30" customHeight="1" x14ac:dyDescent="0.3">
      <c r="A91" s="12"/>
      <c r="B91" s="12"/>
      <c r="C91" s="12"/>
      <c r="D91" s="12"/>
      <c r="E91" s="12"/>
      <c r="F91" s="12"/>
      <c r="G91" s="1" t="str">
        <f t="shared" si="6"/>
        <v/>
      </c>
      <c r="H91" s="12"/>
      <c r="I91" s="12"/>
      <c r="J91" s="12"/>
      <c r="K91" s="12"/>
      <c r="L91" s="12"/>
      <c r="M91" s="12"/>
      <c r="N91" s="16" t="str">
        <f>IF($A91="","",COUNTIF(Criterios_Gherkin!$A$7:$A$206,$A91))</f>
        <v/>
      </c>
      <c r="O91" s="12"/>
      <c r="P91" s="12"/>
      <c r="Q91" s="12"/>
      <c r="R91" s="12"/>
      <c r="S91" s="12"/>
      <c r="T91" s="12"/>
      <c r="U91" s="16" t="str">
        <f t="shared" si="7"/>
        <v/>
      </c>
      <c r="V91" s="12"/>
      <c r="W91" s="12"/>
      <c r="X91" s="12"/>
      <c r="Y91" s="12"/>
      <c r="Z91" s="12"/>
      <c r="AA91" s="16" t="str">
        <f t="shared" si="8"/>
        <v/>
      </c>
    </row>
    <row r="92" spans="1:27" ht="30" customHeight="1" x14ac:dyDescent="0.3">
      <c r="A92" s="12"/>
      <c r="B92" s="12"/>
      <c r="C92" s="12"/>
      <c r="D92" s="12"/>
      <c r="E92" s="12"/>
      <c r="F92" s="12"/>
      <c r="G92" s="1" t="str">
        <f t="shared" si="6"/>
        <v/>
      </c>
      <c r="H92" s="12"/>
      <c r="I92" s="12"/>
      <c r="J92" s="12"/>
      <c r="K92" s="12"/>
      <c r="L92" s="12"/>
      <c r="M92" s="12"/>
      <c r="N92" s="16" t="str">
        <f>IF($A92="","",COUNTIF(Criterios_Gherkin!$A$7:$A$206,$A92))</f>
        <v/>
      </c>
      <c r="O92" s="12"/>
      <c r="P92" s="12"/>
      <c r="Q92" s="12"/>
      <c r="R92" s="12"/>
      <c r="S92" s="12"/>
      <c r="T92" s="12"/>
      <c r="U92" s="16" t="str">
        <f t="shared" si="7"/>
        <v/>
      </c>
      <c r="V92" s="12"/>
      <c r="W92" s="12"/>
      <c r="X92" s="12"/>
      <c r="Y92" s="12"/>
      <c r="Z92" s="12"/>
      <c r="AA92" s="16" t="str">
        <f t="shared" si="8"/>
        <v/>
      </c>
    </row>
    <row r="93" spans="1:27" ht="30" customHeight="1" x14ac:dyDescent="0.3">
      <c r="A93" s="12"/>
      <c r="B93" s="12"/>
      <c r="C93" s="12"/>
      <c r="D93" s="12"/>
      <c r="E93" s="12"/>
      <c r="F93" s="12"/>
      <c r="G93" s="1" t="str">
        <f t="shared" si="6"/>
        <v/>
      </c>
      <c r="H93" s="12"/>
      <c r="I93" s="12"/>
      <c r="J93" s="12"/>
      <c r="K93" s="12"/>
      <c r="L93" s="12"/>
      <c r="M93" s="12"/>
      <c r="N93" s="16" t="str">
        <f>IF($A93="","",COUNTIF(Criterios_Gherkin!$A$7:$A$206,$A93))</f>
        <v/>
      </c>
      <c r="O93" s="12"/>
      <c r="P93" s="12"/>
      <c r="Q93" s="12"/>
      <c r="R93" s="12"/>
      <c r="S93" s="12"/>
      <c r="T93" s="12"/>
      <c r="U93" s="16" t="str">
        <f t="shared" si="7"/>
        <v/>
      </c>
      <c r="V93" s="12"/>
      <c r="W93" s="12"/>
      <c r="X93" s="12"/>
      <c r="Y93" s="12"/>
      <c r="Z93" s="12"/>
      <c r="AA93" s="16" t="str">
        <f t="shared" si="8"/>
        <v/>
      </c>
    </row>
    <row r="94" spans="1:27" ht="30" customHeight="1" x14ac:dyDescent="0.3">
      <c r="A94" s="12"/>
      <c r="B94" s="12"/>
      <c r="C94" s="12"/>
      <c r="D94" s="12"/>
      <c r="E94" s="12"/>
      <c r="F94" s="12"/>
      <c r="G94" s="1" t="str">
        <f t="shared" si="6"/>
        <v/>
      </c>
      <c r="H94" s="12"/>
      <c r="I94" s="12"/>
      <c r="J94" s="12"/>
      <c r="K94" s="12"/>
      <c r="L94" s="12"/>
      <c r="M94" s="12"/>
      <c r="N94" s="16" t="str">
        <f>IF($A94="","",COUNTIF(Criterios_Gherkin!$A$7:$A$206,$A94))</f>
        <v/>
      </c>
      <c r="O94" s="12"/>
      <c r="P94" s="12"/>
      <c r="Q94" s="12"/>
      <c r="R94" s="12"/>
      <c r="S94" s="12"/>
      <c r="T94" s="12"/>
      <c r="U94" s="16" t="str">
        <f t="shared" si="7"/>
        <v/>
      </c>
      <c r="V94" s="12"/>
      <c r="W94" s="12"/>
      <c r="X94" s="12"/>
      <c r="Y94" s="12"/>
      <c r="Z94" s="12"/>
      <c r="AA94" s="16" t="str">
        <f t="shared" si="8"/>
        <v/>
      </c>
    </row>
    <row r="95" spans="1:27" ht="30" customHeight="1" x14ac:dyDescent="0.3">
      <c r="A95" s="12"/>
      <c r="B95" s="12"/>
      <c r="C95" s="12"/>
      <c r="D95" s="12"/>
      <c r="E95" s="12"/>
      <c r="F95" s="12"/>
      <c r="G95" s="1" t="str">
        <f t="shared" si="6"/>
        <v/>
      </c>
      <c r="H95" s="12"/>
      <c r="I95" s="12"/>
      <c r="J95" s="12"/>
      <c r="K95" s="12"/>
      <c r="L95" s="12"/>
      <c r="M95" s="12"/>
      <c r="N95" s="16" t="str">
        <f>IF($A95="","",COUNTIF(Criterios_Gherkin!$A$7:$A$206,$A95))</f>
        <v/>
      </c>
      <c r="O95" s="12"/>
      <c r="P95" s="12"/>
      <c r="Q95" s="12"/>
      <c r="R95" s="12"/>
      <c r="S95" s="12"/>
      <c r="T95" s="12"/>
      <c r="U95" s="16" t="str">
        <f t="shared" si="7"/>
        <v/>
      </c>
      <c r="V95" s="12"/>
      <c r="W95" s="12"/>
      <c r="X95" s="12"/>
      <c r="Y95" s="12"/>
      <c r="Z95" s="12"/>
      <c r="AA95" s="16" t="str">
        <f t="shared" si="8"/>
        <v/>
      </c>
    </row>
    <row r="96" spans="1:27" ht="30" customHeight="1" x14ac:dyDescent="0.3">
      <c r="A96" s="12"/>
      <c r="B96" s="12"/>
      <c r="C96" s="12"/>
      <c r="D96" s="12"/>
      <c r="E96" s="12"/>
      <c r="F96" s="12"/>
      <c r="G96" s="1" t="str">
        <f t="shared" si="6"/>
        <v/>
      </c>
      <c r="H96" s="12"/>
      <c r="I96" s="12"/>
      <c r="J96" s="12"/>
      <c r="K96" s="12"/>
      <c r="L96" s="12"/>
      <c r="M96" s="12"/>
      <c r="N96" s="16" t="str">
        <f>IF($A96="","",COUNTIF(Criterios_Gherkin!$A$7:$A$206,$A96))</f>
        <v/>
      </c>
      <c r="O96" s="12"/>
      <c r="P96" s="12"/>
      <c r="Q96" s="12"/>
      <c r="R96" s="12"/>
      <c r="S96" s="12"/>
      <c r="T96" s="12"/>
      <c r="U96" s="16" t="str">
        <f t="shared" si="7"/>
        <v/>
      </c>
      <c r="V96" s="12"/>
      <c r="W96" s="12"/>
      <c r="X96" s="12"/>
      <c r="Y96" s="12"/>
      <c r="Z96" s="12"/>
      <c r="AA96" s="16" t="str">
        <f t="shared" si="8"/>
        <v/>
      </c>
    </row>
    <row r="97" spans="1:27" ht="30" customHeight="1" x14ac:dyDescent="0.3">
      <c r="A97" s="12"/>
      <c r="B97" s="12"/>
      <c r="C97" s="12"/>
      <c r="D97" s="12"/>
      <c r="E97" s="12"/>
      <c r="F97" s="12"/>
      <c r="G97" s="1" t="str">
        <f t="shared" si="6"/>
        <v/>
      </c>
      <c r="H97" s="12"/>
      <c r="I97" s="12"/>
      <c r="J97" s="12"/>
      <c r="K97" s="12"/>
      <c r="L97" s="12"/>
      <c r="M97" s="12"/>
      <c r="N97" s="16" t="str">
        <f>IF($A97="","",COUNTIF(Criterios_Gherkin!$A$7:$A$206,$A97))</f>
        <v/>
      </c>
      <c r="O97" s="12"/>
      <c r="P97" s="12"/>
      <c r="Q97" s="12"/>
      <c r="R97" s="12"/>
      <c r="S97" s="12"/>
      <c r="T97" s="12"/>
      <c r="U97" s="16" t="str">
        <f t="shared" si="7"/>
        <v/>
      </c>
      <c r="V97" s="12"/>
      <c r="W97" s="12"/>
      <c r="X97" s="12"/>
      <c r="Y97" s="12"/>
      <c r="Z97" s="12"/>
      <c r="AA97" s="16" t="str">
        <f t="shared" si="8"/>
        <v/>
      </c>
    </row>
    <row r="98" spans="1:27" ht="30" customHeight="1" x14ac:dyDescent="0.3">
      <c r="A98" s="12"/>
      <c r="B98" s="12"/>
      <c r="C98" s="12"/>
      <c r="D98" s="12"/>
      <c r="E98" s="12"/>
      <c r="F98" s="12"/>
      <c r="G98" s="1" t="str">
        <f t="shared" si="6"/>
        <v/>
      </c>
      <c r="H98" s="12"/>
      <c r="I98" s="12"/>
      <c r="J98" s="12"/>
      <c r="K98" s="12"/>
      <c r="L98" s="12"/>
      <c r="M98" s="12"/>
      <c r="N98" s="16" t="str">
        <f>IF($A98="","",COUNTIF(Criterios_Gherkin!$A$7:$A$206,$A98))</f>
        <v/>
      </c>
      <c r="O98" s="12"/>
      <c r="P98" s="12"/>
      <c r="Q98" s="12"/>
      <c r="R98" s="12"/>
      <c r="S98" s="12"/>
      <c r="T98" s="12"/>
      <c r="U98" s="16" t="str">
        <f t="shared" si="7"/>
        <v/>
      </c>
      <c r="V98" s="12"/>
      <c r="W98" s="12"/>
      <c r="X98" s="12"/>
      <c r="Y98" s="12"/>
      <c r="Z98" s="12"/>
      <c r="AA98" s="16" t="str">
        <f t="shared" si="8"/>
        <v/>
      </c>
    </row>
    <row r="99" spans="1:27" ht="30" customHeight="1" x14ac:dyDescent="0.3">
      <c r="A99" s="12"/>
      <c r="B99" s="12"/>
      <c r="C99" s="12"/>
      <c r="D99" s="12"/>
      <c r="E99" s="12"/>
      <c r="F99" s="12"/>
      <c r="G99" s="1" t="str">
        <f t="shared" si="6"/>
        <v/>
      </c>
      <c r="H99" s="12"/>
      <c r="I99" s="12"/>
      <c r="J99" s="12"/>
      <c r="K99" s="12"/>
      <c r="L99" s="12"/>
      <c r="M99" s="12"/>
      <c r="N99" s="16" t="str">
        <f>IF($A99="","",COUNTIF(Criterios_Gherkin!$A$7:$A$206,$A99))</f>
        <v/>
      </c>
      <c r="O99" s="12"/>
      <c r="P99" s="12"/>
      <c r="Q99" s="12"/>
      <c r="R99" s="12"/>
      <c r="S99" s="12"/>
      <c r="T99" s="12"/>
      <c r="U99" s="16" t="str">
        <f t="shared" si="7"/>
        <v/>
      </c>
      <c r="V99" s="12"/>
      <c r="W99" s="12"/>
      <c r="X99" s="12"/>
      <c r="Y99" s="12"/>
      <c r="Z99" s="12"/>
      <c r="AA99" s="16" t="str">
        <f t="shared" si="8"/>
        <v/>
      </c>
    </row>
    <row r="100" spans="1:27" ht="30" customHeight="1" x14ac:dyDescent="0.3">
      <c r="A100" s="12"/>
      <c r="B100" s="12"/>
      <c r="C100" s="12"/>
      <c r="D100" s="12"/>
      <c r="E100" s="12"/>
      <c r="F100" s="12"/>
      <c r="G100" s="1" t="str">
        <f t="shared" si="6"/>
        <v/>
      </c>
      <c r="H100" s="12"/>
      <c r="I100" s="12"/>
      <c r="J100" s="12"/>
      <c r="K100" s="12"/>
      <c r="L100" s="12"/>
      <c r="M100" s="12"/>
      <c r="N100" s="16" t="str">
        <f>IF($A100="","",COUNTIF(Criterios_Gherkin!$A$7:$A$206,$A100))</f>
        <v/>
      </c>
      <c r="O100" s="12"/>
      <c r="P100" s="12"/>
      <c r="Q100" s="12"/>
      <c r="R100" s="12"/>
      <c r="S100" s="12"/>
      <c r="T100" s="12"/>
      <c r="U100" s="16" t="str">
        <f t="shared" si="7"/>
        <v/>
      </c>
      <c r="V100" s="12"/>
      <c r="W100" s="12"/>
      <c r="X100" s="12"/>
      <c r="Y100" s="12"/>
      <c r="Z100" s="12"/>
      <c r="AA100" s="16" t="str">
        <f t="shared" si="8"/>
        <v/>
      </c>
    </row>
    <row r="101" spans="1:27" ht="30" customHeight="1" x14ac:dyDescent="0.3">
      <c r="A101" s="12"/>
      <c r="B101" s="12"/>
      <c r="C101" s="12"/>
      <c r="D101" s="12"/>
      <c r="E101" s="12"/>
      <c r="F101" s="12"/>
      <c r="G101" s="1" t="str">
        <f t="shared" si="6"/>
        <v/>
      </c>
      <c r="H101" s="12"/>
      <c r="I101" s="12"/>
      <c r="J101" s="12"/>
      <c r="K101" s="12"/>
      <c r="L101" s="12"/>
      <c r="M101" s="12"/>
      <c r="N101" s="16" t="str">
        <f>IF($A101="","",COUNTIF(Criterios_Gherkin!$A$7:$A$206,$A101))</f>
        <v/>
      </c>
      <c r="O101" s="12"/>
      <c r="P101" s="12"/>
      <c r="Q101" s="12"/>
      <c r="R101" s="12"/>
      <c r="S101" s="12"/>
      <c r="T101" s="12"/>
      <c r="U101" s="16" t="str">
        <f t="shared" si="7"/>
        <v/>
      </c>
      <c r="V101" s="12"/>
      <c r="W101" s="12"/>
      <c r="X101" s="12"/>
      <c r="Y101" s="12"/>
      <c r="Z101" s="12"/>
      <c r="AA101" s="16" t="str">
        <f t="shared" si="8"/>
        <v/>
      </c>
    </row>
    <row r="102" spans="1:27" ht="30" customHeight="1" x14ac:dyDescent="0.3">
      <c r="A102" s="12"/>
      <c r="B102" s="12"/>
      <c r="C102" s="12"/>
      <c r="D102" s="12"/>
      <c r="E102" s="12"/>
      <c r="F102" s="12"/>
      <c r="G102" s="1" t="str">
        <f t="shared" si="6"/>
        <v/>
      </c>
      <c r="H102" s="12"/>
      <c r="I102" s="12"/>
      <c r="J102" s="12"/>
      <c r="K102" s="12"/>
      <c r="L102" s="12"/>
      <c r="M102" s="12"/>
      <c r="N102" s="16" t="str">
        <f>IF($A102="","",COUNTIF(Criterios_Gherkin!$A$7:$A$206,$A102))</f>
        <v/>
      </c>
      <c r="O102" s="12"/>
      <c r="P102" s="12"/>
      <c r="Q102" s="12"/>
      <c r="R102" s="12"/>
      <c r="S102" s="12"/>
      <c r="T102" s="12"/>
      <c r="U102" s="16" t="str">
        <f t="shared" si="7"/>
        <v/>
      </c>
      <c r="V102" s="12"/>
      <c r="W102" s="12"/>
      <c r="X102" s="12"/>
      <c r="Y102" s="12"/>
      <c r="Z102" s="12"/>
      <c r="AA102" s="16" t="str">
        <f t="shared" si="8"/>
        <v/>
      </c>
    </row>
    <row r="103" spans="1:27" ht="30" customHeight="1" x14ac:dyDescent="0.3">
      <c r="A103" s="12"/>
      <c r="B103" s="12"/>
      <c r="C103" s="12"/>
      <c r="D103" s="12"/>
      <c r="E103" s="12"/>
      <c r="F103" s="12"/>
      <c r="G103" s="1" t="str">
        <f t="shared" ref="G103:G107" si="9">IF($A103="","","Como "&amp;D103&amp;", quiero "&amp;E103&amp;", para "&amp;F103&amp;".")</f>
        <v/>
      </c>
      <c r="H103" s="12"/>
      <c r="I103" s="12"/>
      <c r="J103" s="12"/>
      <c r="K103" s="12"/>
      <c r="L103" s="12"/>
      <c r="M103" s="12"/>
      <c r="N103" s="16" t="str">
        <f>IF($A103="","",COUNTIF(Criterios_Gherkin!$A$7:$A$206,$A103))</f>
        <v/>
      </c>
      <c r="O103" s="12"/>
      <c r="P103" s="12"/>
      <c r="Q103" s="12"/>
      <c r="R103" s="12"/>
      <c r="S103" s="12"/>
      <c r="T103" s="12"/>
      <c r="U103" s="16" t="str">
        <f t="shared" si="7"/>
        <v/>
      </c>
      <c r="V103" s="12"/>
      <c r="W103" s="12"/>
      <c r="X103" s="12"/>
      <c r="Y103" s="12"/>
      <c r="Z103" s="12"/>
      <c r="AA103" s="16" t="str">
        <f t="shared" si="8"/>
        <v/>
      </c>
    </row>
    <row r="104" spans="1:27" ht="30" customHeight="1" x14ac:dyDescent="0.3">
      <c r="A104" s="12"/>
      <c r="B104" s="12"/>
      <c r="C104" s="12"/>
      <c r="D104" s="12"/>
      <c r="E104" s="12"/>
      <c r="F104" s="12"/>
      <c r="G104" s="1" t="str">
        <f t="shared" si="9"/>
        <v/>
      </c>
      <c r="H104" s="12"/>
      <c r="I104" s="12"/>
      <c r="J104" s="12"/>
      <c r="K104" s="12"/>
      <c r="L104" s="12"/>
      <c r="M104" s="12"/>
      <c r="N104" s="16" t="str">
        <f>IF($A104="","",COUNTIF(Criterios_Gherkin!$A$7:$A$206,$A104))</f>
        <v/>
      </c>
      <c r="O104" s="12"/>
      <c r="P104" s="12"/>
      <c r="Q104" s="12"/>
      <c r="R104" s="12"/>
      <c r="S104" s="12"/>
      <c r="T104" s="12"/>
      <c r="U104" s="16" t="str">
        <f t="shared" si="7"/>
        <v/>
      </c>
      <c r="V104" s="12"/>
      <c r="W104" s="12"/>
      <c r="X104" s="12"/>
      <c r="Y104" s="12"/>
      <c r="Z104" s="12"/>
      <c r="AA104" s="16" t="str">
        <f t="shared" si="8"/>
        <v/>
      </c>
    </row>
    <row r="105" spans="1:27" ht="30" customHeight="1" x14ac:dyDescent="0.3">
      <c r="A105" s="12"/>
      <c r="B105" s="12"/>
      <c r="C105" s="12"/>
      <c r="D105" s="12"/>
      <c r="E105" s="12"/>
      <c r="F105" s="12"/>
      <c r="G105" s="1" t="str">
        <f t="shared" si="9"/>
        <v/>
      </c>
      <c r="H105" s="12"/>
      <c r="I105" s="12"/>
      <c r="J105" s="12"/>
      <c r="K105" s="12"/>
      <c r="L105" s="12"/>
      <c r="M105" s="12"/>
      <c r="N105" s="16" t="str">
        <f>IF($A105="","",COUNTIF(Criterios_Gherkin!$A$7:$A$206,$A105))</f>
        <v/>
      </c>
      <c r="O105" s="12"/>
      <c r="P105" s="12"/>
      <c r="Q105" s="12"/>
      <c r="R105" s="12"/>
      <c r="S105" s="12"/>
      <c r="T105" s="12"/>
      <c r="U105" s="16" t="str">
        <f t="shared" si="7"/>
        <v/>
      </c>
      <c r="V105" s="12"/>
      <c r="W105" s="12"/>
      <c r="X105" s="12"/>
      <c r="Y105" s="12"/>
      <c r="Z105" s="12"/>
      <c r="AA105" s="16" t="str">
        <f t="shared" si="8"/>
        <v/>
      </c>
    </row>
    <row r="106" spans="1:27" ht="30" customHeight="1" x14ac:dyDescent="0.3">
      <c r="A106" s="12"/>
      <c r="B106" s="12"/>
      <c r="C106" s="12"/>
      <c r="D106" s="12"/>
      <c r="E106" s="12"/>
      <c r="F106" s="12"/>
      <c r="G106" s="1" t="str">
        <f t="shared" si="9"/>
        <v/>
      </c>
      <c r="H106" s="12"/>
      <c r="I106" s="12"/>
      <c r="J106" s="12"/>
      <c r="K106" s="12"/>
      <c r="L106" s="12"/>
      <c r="M106" s="12"/>
      <c r="N106" s="16" t="str">
        <f>IF($A106="","",COUNTIF(Criterios_Gherkin!$A$7:$A$206,$A106))</f>
        <v/>
      </c>
      <c r="O106" s="12"/>
      <c r="P106" s="12"/>
      <c r="Q106" s="12"/>
      <c r="R106" s="12"/>
      <c r="S106" s="12"/>
      <c r="T106" s="12"/>
      <c r="U106" s="16" t="str">
        <f t="shared" si="7"/>
        <v/>
      </c>
      <c r="V106" s="12"/>
      <c r="W106" s="12"/>
      <c r="X106" s="12"/>
      <c r="Y106" s="12"/>
      <c r="Z106" s="12"/>
      <c r="AA106" s="16" t="str">
        <f t="shared" si="8"/>
        <v/>
      </c>
    </row>
    <row r="107" spans="1:27" ht="30" customHeight="1" x14ac:dyDescent="0.3">
      <c r="A107" s="12"/>
      <c r="B107" s="12"/>
      <c r="C107" s="12"/>
      <c r="D107" s="12"/>
      <c r="E107" s="12"/>
      <c r="F107" s="12"/>
      <c r="G107" s="1" t="str">
        <f t="shared" si="9"/>
        <v/>
      </c>
      <c r="H107" s="12"/>
      <c r="I107" s="12"/>
      <c r="J107" s="12"/>
      <c r="K107" s="12"/>
      <c r="L107" s="12"/>
      <c r="M107" s="12"/>
      <c r="N107" s="16" t="str">
        <f>IF($A107="","",COUNTIF(Criterios_Gherkin!$A$7:$A$206,$A107))</f>
        <v/>
      </c>
      <c r="O107" s="12"/>
      <c r="P107" s="12"/>
      <c r="Q107" s="12"/>
      <c r="R107" s="12"/>
      <c r="S107" s="12"/>
      <c r="T107" s="12"/>
      <c r="U107" s="16" t="str">
        <f t="shared" si="7"/>
        <v/>
      </c>
      <c r="V107" s="12"/>
      <c r="W107" s="12"/>
      <c r="X107" s="12"/>
      <c r="Y107" s="12"/>
      <c r="Z107" s="12"/>
      <c r="AA107" s="16" t="str">
        <f t="shared" si="8"/>
        <v/>
      </c>
    </row>
  </sheetData>
  <autoFilter ref="A6:AA107" xr:uid="{00000000-0009-0000-0000-000006000000}"/>
  <mergeCells count="9">
    <mergeCell ref="A3:AA3"/>
    <mergeCell ref="V5:AA5"/>
    <mergeCell ref="A5:C5"/>
    <mergeCell ref="A1:AA1"/>
    <mergeCell ref="A2:AA2"/>
    <mergeCell ref="H5:I5"/>
    <mergeCell ref="O5:U5"/>
    <mergeCell ref="D5:G5"/>
    <mergeCell ref="J5:M5"/>
  </mergeCells>
  <conditionalFormatting sqref="U7:U107">
    <cfRule type="cellIs" dxfId="3" priority="2" operator="equal">
      <formula>"No"</formula>
    </cfRule>
    <cfRule type="cellIs" dxfId="2" priority="3" operator="equal">
      <formula>"Sí"</formula>
    </cfRule>
  </conditionalFormatting>
  <conditionalFormatting sqref="AA7:AA107">
    <cfRule type="cellIs" dxfId="1" priority="4" operator="equal">
      <formula>"No"</formula>
    </cfRule>
    <cfRule type="cellIs" dxfId="0" priority="5" operator="equal">
      <formula>"Sí"</formula>
    </cfRule>
  </conditionalFormatting>
  <dataValidations count="4">
    <dataValidation type="list" allowBlank="1" errorTitle="Valor no admitido" error="Selecciona un valor de la lista desplegable." sqref="J7:J107" xr:uid="{00000000-0002-0000-0600-000000000000}">
      <formula1>LST_MOSCOW</formula1>
      <formula2>0</formula2>
    </dataValidation>
    <dataValidation type="list" allowBlank="1" errorTitle="Valor no admitido" error="Selecciona un valor de la lista desplegable." sqref="K7:K107" xr:uid="{00000000-0002-0000-0600-000001000000}">
      <formula1>LST_PUNTOS</formula1>
      <formula2>0</formula2>
    </dataValidation>
    <dataValidation type="list" allowBlank="1" errorTitle="Valor no admitido" error="Selecciona un valor de la lista desplegable." sqref="M7:M107" xr:uid="{00000000-0002-0000-0600-000002000000}">
      <formula1>LST_ESTADO_HU</formula1>
      <formula2>0</formula2>
    </dataValidation>
    <dataValidation type="list" allowBlank="1" errorTitle="Valor no admitido" error="Selecciona un valor de la lista desplegable." sqref="O7:T107 V7:Z107" xr:uid="{00000000-0002-0000-0600-000003000000}">
      <formula1>LST_CONFIRMACION</formula1>
      <formula2>0</formula2>
    </dataValidation>
  </dataValidations>
  <pageMargins left="0.75" right="0.75" top="1" bottom="1" header="0.511811023622047" footer="0.5"/>
  <pageSetup fitToHeight="0" orientation="landscape" horizontalDpi="300" verticalDpi="300"/>
  <headerFooter>
    <oddFooter>&amp;L&amp;"Tahoma,Regular"&amp;7 Historias de usuario&amp;C&amp;"Tahoma,Regular"&amp;7 Universidad Católica de Colombia · Facultad de Ingeniería · Vigilada Mineducación&amp;R&amp;"Tahoma,Regular"&amp;7 Página &amp;P de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206"/>
  <sheetViews>
    <sheetView showGridLines="0" zoomScaleNormal="100" workbookViewId="0">
      <pane xSplit="1" ySplit="6" topLeftCell="B7" activePane="bottomRight" state="frozen"/>
      <selection pane="topRight" activeCell="B1" sqref="B1"/>
      <selection pane="bottomLeft" activeCell="A7" sqref="A7"/>
      <selection pane="bottomRight" activeCell="F11" sqref="F11"/>
    </sheetView>
  </sheetViews>
  <sheetFormatPr baseColWidth="10" defaultColWidth="8.6640625" defaultRowHeight="14.4" x14ac:dyDescent="0.3"/>
  <cols>
    <col min="1" max="1" width="16" customWidth="1"/>
    <col min="2" max="2" width="15" customWidth="1"/>
    <col min="3" max="3" width="20" customWidth="1"/>
    <col min="4" max="5" width="42" customWidth="1"/>
    <col min="6" max="6" width="46" customWidth="1"/>
    <col min="7" max="7" width="22" customWidth="1"/>
  </cols>
  <sheetData>
    <row r="1" spans="1:7" ht="25.5" customHeight="1" x14ac:dyDescent="0.3">
      <c r="A1" s="38" t="s">
        <v>0</v>
      </c>
      <c r="B1" s="30"/>
      <c r="C1" s="30"/>
      <c r="D1" s="30"/>
      <c r="E1" s="30"/>
      <c r="F1" s="30"/>
      <c r="G1" s="30"/>
    </row>
    <row r="2" spans="1:7" ht="15" customHeight="1" x14ac:dyDescent="0.3">
      <c r="A2" s="40" t="s">
        <v>1</v>
      </c>
      <c r="B2" s="30"/>
      <c r="C2" s="30"/>
      <c r="D2" s="30"/>
      <c r="E2" s="30"/>
      <c r="F2" s="30"/>
      <c r="G2" s="30"/>
    </row>
    <row r="3" spans="1:7" ht="15.75" customHeight="1" x14ac:dyDescent="0.3">
      <c r="A3" s="42" t="s">
        <v>2</v>
      </c>
      <c r="B3" s="30"/>
      <c r="C3" s="30"/>
      <c r="D3" s="30"/>
      <c r="E3" s="30"/>
      <c r="F3" s="30"/>
      <c r="G3" s="30"/>
    </row>
    <row r="4" spans="1:7" ht="6" customHeight="1" x14ac:dyDescent="0.3"/>
    <row r="5" spans="1:7" ht="18" customHeight="1" x14ac:dyDescent="0.3">
      <c r="A5" s="41" t="s">
        <v>3</v>
      </c>
      <c r="B5" s="32"/>
      <c r="C5" s="33"/>
      <c r="D5" s="41" t="s">
        <v>4</v>
      </c>
      <c r="E5" s="32"/>
      <c r="F5" s="33"/>
      <c r="G5" s="2" t="s">
        <v>5</v>
      </c>
    </row>
    <row r="6" spans="1:7" ht="33.75" customHeight="1" x14ac:dyDescent="0.3">
      <c r="A6" s="14" t="s">
        <v>6</v>
      </c>
      <c r="B6" s="14" t="s">
        <v>7</v>
      </c>
      <c r="C6" s="14" t="s">
        <v>8</v>
      </c>
      <c r="D6" s="14" t="s">
        <v>9</v>
      </c>
      <c r="E6" s="14" t="s">
        <v>10</v>
      </c>
      <c r="F6" s="14" t="s">
        <v>11</v>
      </c>
      <c r="G6" s="14" t="s">
        <v>12</v>
      </c>
    </row>
    <row r="7" spans="1:7" ht="22.8" x14ac:dyDescent="0.3">
      <c r="A7" s="18" t="s">
        <v>13</v>
      </c>
      <c r="B7" s="18" t="s">
        <v>14</v>
      </c>
      <c r="C7" s="18" t="s">
        <v>15</v>
      </c>
      <c r="D7" s="18" t="s">
        <v>16</v>
      </c>
      <c r="E7" s="18" t="s">
        <v>1405</v>
      </c>
      <c r="F7" s="18" t="s">
        <v>17</v>
      </c>
      <c r="G7" s="18" t="s">
        <v>18</v>
      </c>
    </row>
    <row r="8" spans="1:7" ht="22.8" x14ac:dyDescent="0.3">
      <c r="A8" s="18" t="s">
        <v>13</v>
      </c>
      <c r="B8" s="18" t="s">
        <v>19</v>
      </c>
      <c r="C8" s="18" t="s">
        <v>20</v>
      </c>
      <c r="D8" s="18" t="s">
        <v>21</v>
      </c>
      <c r="E8" s="18" t="s">
        <v>22</v>
      </c>
      <c r="F8" s="18" t="s">
        <v>23</v>
      </c>
      <c r="G8" s="18" t="s">
        <v>18</v>
      </c>
    </row>
    <row r="9" spans="1:7" ht="30" customHeight="1" x14ac:dyDescent="0.3">
      <c r="A9" s="18" t="s">
        <v>24</v>
      </c>
      <c r="B9" s="18" t="s">
        <v>14</v>
      </c>
      <c r="C9" s="18" t="s">
        <v>15</v>
      </c>
      <c r="D9" s="18" t="s">
        <v>25</v>
      </c>
      <c r="E9" s="18" t="s">
        <v>26</v>
      </c>
      <c r="F9" s="18" t="s">
        <v>1406</v>
      </c>
      <c r="G9" s="18" t="s">
        <v>18</v>
      </c>
    </row>
    <row r="10" spans="1:7" ht="30" customHeight="1" x14ac:dyDescent="0.3">
      <c r="A10" s="18" t="s">
        <v>24</v>
      </c>
      <c r="B10" s="18" t="s">
        <v>19</v>
      </c>
      <c r="C10" s="18" t="s">
        <v>20</v>
      </c>
      <c r="D10" s="18" t="s">
        <v>1407</v>
      </c>
      <c r="E10" s="18" t="s">
        <v>27</v>
      </c>
      <c r="F10" s="18" t="s">
        <v>28</v>
      </c>
      <c r="G10" s="18" t="s">
        <v>18</v>
      </c>
    </row>
    <row r="11" spans="1:7" ht="30" customHeight="1" x14ac:dyDescent="0.3">
      <c r="A11" s="18" t="s">
        <v>29</v>
      </c>
      <c r="B11" s="18" t="s">
        <v>14</v>
      </c>
      <c r="C11" s="18" t="s">
        <v>15</v>
      </c>
      <c r="D11" s="18" t="s">
        <v>30</v>
      </c>
      <c r="E11" s="18" t="s">
        <v>31</v>
      </c>
      <c r="F11" s="18" t="s">
        <v>1408</v>
      </c>
      <c r="G11" s="18" t="s">
        <v>18</v>
      </c>
    </row>
    <row r="12" spans="1:7" ht="30" customHeight="1" x14ac:dyDescent="0.3">
      <c r="A12" s="18" t="s">
        <v>29</v>
      </c>
      <c r="B12" s="18" t="s">
        <v>19</v>
      </c>
      <c r="C12" s="18" t="s">
        <v>32</v>
      </c>
      <c r="D12" s="18" t="s">
        <v>33</v>
      </c>
      <c r="E12" s="18" t="s">
        <v>34</v>
      </c>
      <c r="F12" s="18" t="s">
        <v>35</v>
      </c>
      <c r="G12" s="18" t="s">
        <v>18</v>
      </c>
    </row>
    <row r="13" spans="1:7" ht="30" customHeight="1" x14ac:dyDescent="0.3">
      <c r="A13" s="18" t="s">
        <v>36</v>
      </c>
      <c r="B13" s="18" t="s">
        <v>14</v>
      </c>
      <c r="C13" s="18" t="s">
        <v>15</v>
      </c>
      <c r="D13" s="18" t="s">
        <v>37</v>
      </c>
      <c r="E13" s="18" t="s">
        <v>38</v>
      </c>
      <c r="F13" s="18" t="s">
        <v>39</v>
      </c>
      <c r="G13" s="18" t="s">
        <v>18</v>
      </c>
    </row>
    <row r="14" spans="1:7" ht="30" customHeight="1" x14ac:dyDescent="0.3">
      <c r="A14" s="18" t="s">
        <v>36</v>
      </c>
      <c r="B14" s="18" t="s">
        <v>19</v>
      </c>
      <c r="C14" s="18" t="s">
        <v>20</v>
      </c>
      <c r="D14" s="18" t="s">
        <v>40</v>
      </c>
      <c r="E14" s="18" t="s">
        <v>41</v>
      </c>
      <c r="F14" s="18" t="s">
        <v>42</v>
      </c>
      <c r="G14" s="18" t="s">
        <v>18</v>
      </c>
    </row>
    <row r="15" spans="1:7" ht="30" customHeight="1" x14ac:dyDescent="0.3">
      <c r="A15" s="18" t="s">
        <v>43</v>
      </c>
      <c r="B15" s="18" t="s">
        <v>14</v>
      </c>
      <c r="C15" s="18" t="s">
        <v>15</v>
      </c>
      <c r="D15" s="18" t="s">
        <v>44</v>
      </c>
      <c r="E15" s="18" t="s">
        <v>45</v>
      </c>
      <c r="F15" s="18" t="s">
        <v>46</v>
      </c>
      <c r="G15" s="18" t="s">
        <v>18</v>
      </c>
    </row>
    <row r="16" spans="1:7" ht="30" customHeight="1" x14ac:dyDescent="0.3">
      <c r="A16" s="18" t="s">
        <v>43</v>
      </c>
      <c r="B16" s="18" t="s">
        <v>19</v>
      </c>
      <c r="C16" s="18" t="s">
        <v>20</v>
      </c>
      <c r="D16" s="18" t="s">
        <v>47</v>
      </c>
      <c r="E16" s="18" t="s">
        <v>48</v>
      </c>
      <c r="F16" s="18" t="s">
        <v>49</v>
      </c>
      <c r="G16" s="18" t="s">
        <v>18</v>
      </c>
    </row>
    <row r="17" spans="1:7" ht="30" customHeight="1" x14ac:dyDescent="0.3">
      <c r="A17" s="18" t="s">
        <v>50</v>
      </c>
      <c r="B17" s="18" t="s">
        <v>14</v>
      </c>
      <c r="C17" s="18" t="s">
        <v>15</v>
      </c>
      <c r="D17" s="18" t="s">
        <v>51</v>
      </c>
      <c r="E17" s="18" t="s">
        <v>52</v>
      </c>
      <c r="F17" s="18" t="s">
        <v>53</v>
      </c>
      <c r="G17" s="18" t="s">
        <v>18</v>
      </c>
    </row>
    <row r="18" spans="1:7" ht="30" customHeight="1" x14ac:dyDescent="0.3">
      <c r="A18" s="18" t="s">
        <v>50</v>
      </c>
      <c r="B18" s="18" t="s">
        <v>19</v>
      </c>
      <c r="C18" s="18" t="s">
        <v>32</v>
      </c>
      <c r="D18" s="18" t="s">
        <v>54</v>
      </c>
      <c r="E18" s="18" t="s">
        <v>55</v>
      </c>
      <c r="F18" s="18" t="s">
        <v>56</v>
      </c>
      <c r="G18" s="18" t="s">
        <v>18</v>
      </c>
    </row>
    <row r="19" spans="1:7" ht="30" customHeight="1" x14ac:dyDescent="0.3">
      <c r="A19" s="18" t="s">
        <v>57</v>
      </c>
      <c r="B19" s="18" t="s">
        <v>14</v>
      </c>
      <c r="C19" s="18" t="s">
        <v>15</v>
      </c>
      <c r="D19" s="18" t="s">
        <v>58</v>
      </c>
      <c r="E19" s="18" t="s">
        <v>59</v>
      </c>
      <c r="F19" s="18" t="s">
        <v>60</v>
      </c>
      <c r="G19" s="18" t="s">
        <v>18</v>
      </c>
    </row>
    <row r="20" spans="1:7" ht="30" customHeight="1" x14ac:dyDescent="0.3">
      <c r="A20" s="18" t="s">
        <v>57</v>
      </c>
      <c r="B20" s="18" t="s">
        <v>19</v>
      </c>
      <c r="C20" s="18" t="s">
        <v>20</v>
      </c>
      <c r="D20" s="18" t="s">
        <v>61</v>
      </c>
      <c r="E20" s="18" t="s">
        <v>62</v>
      </c>
      <c r="F20" s="18" t="s">
        <v>63</v>
      </c>
      <c r="G20" s="18" t="s">
        <v>18</v>
      </c>
    </row>
    <row r="21" spans="1:7" ht="30" customHeight="1" x14ac:dyDescent="0.3">
      <c r="A21" s="18" t="s">
        <v>64</v>
      </c>
      <c r="B21" s="18" t="s">
        <v>14</v>
      </c>
      <c r="C21" s="18" t="s">
        <v>15</v>
      </c>
      <c r="D21" s="18" t="s">
        <v>65</v>
      </c>
      <c r="E21" s="18" t="s">
        <v>66</v>
      </c>
      <c r="F21" s="18" t="s">
        <v>67</v>
      </c>
      <c r="G21" s="18" t="s">
        <v>18</v>
      </c>
    </row>
    <row r="22" spans="1:7" ht="30" customHeight="1" x14ac:dyDescent="0.3">
      <c r="A22" s="18" t="s">
        <v>64</v>
      </c>
      <c r="B22" s="18" t="s">
        <v>19</v>
      </c>
      <c r="C22" s="18" t="s">
        <v>32</v>
      </c>
      <c r="D22" s="18" t="s">
        <v>68</v>
      </c>
      <c r="E22" s="18" t="s">
        <v>69</v>
      </c>
      <c r="F22" s="18" t="s">
        <v>70</v>
      </c>
      <c r="G22" s="18" t="s">
        <v>18</v>
      </c>
    </row>
    <row r="23" spans="1:7" ht="30" customHeight="1" x14ac:dyDescent="0.3">
      <c r="A23" s="18" t="s">
        <v>71</v>
      </c>
      <c r="B23" s="18" t="s">
        <v>14</v>
      </c>
      <c r="C23" s="18" t="s">
        <v>15</v>
      </c>
      <c r="D23" s="18" t="s">
        <v>72</v>
      </c>
      <c r="E23" s="18" t="s">
        <v>73</v>
      </c>
      <c r="F23" s="18" t="s">
        <v>74</v>
      </c>
      <c r="G23" s="18" t="s">
        <v>18</v>
      </c>
    </row>
    <row r="24" spans="1:7" ht="30" customHeight="1" x14ac:dyDescent="0.3">
      <c r="A24" s="18" t="s">
        <v>71</v>
      </c>
      <c r="B24" s="18" t="s">
        <v>19</v>
      </c>
      <c r="C24" s="18" t="s">
        <v>20</v>
      </c>
      <c r="D24" s="18" t="s">
        <v>75</v>
      </c>
      <c r="E24" s="18" t="s">
        <v>76</v>
      </c>
      <c r="F24" s="18" t="s">
        <v>77</v>
      </c>
      <c r="G24" s="18" t="s">
        <v>18</v>
      </c>
    </row>
    <row r="25" spans="1:7" ht="30" customHeight="1" x14ac:dyDescent="0.3">
      <c r="A25" s="18" t="s">
        <v>78</v>
      </c>
      <c r="B25" s="18" t="s">
        <v>14</v>
      </c>
      <c r="C25" s="18" t="s">
        <v>15</v>
      </c>
      <c r="D25" s="18" t="s">
        <v>79</v>
      </c>
      <c r="E25" s="18" t="s">
        <v>80</v>
      </c>
      <c r="F25" s="18" t="s">
        <v>81</v>
      </c>
      <c r="G25" s="18" t="s">
        <v>18</v>
      </c>
    </row>
    <row r="26" spans="1:7" ht="30" customHeight="1" x14ac:dyDescent="0.3">
      <c r="A26" s="18" t="s">
        <v>78</v>
      </c>
      <c r="B26" s="18" t="s">
        <v>19</v>
      </c>
      <c r="C26" s="18" t="s">
        <v>20</v>
      </c>
      <c r="D26" s="18" t="s">
        <v>82</v>
      </c>
      <c r="E26" s="18" t="s">
        <v>83</v>
      </c>
      <c r="F26" s="18" t="s">
        <v>84</v>
      </c>
      <c r="G26" s="18" t="s">
        <v>18</v>
      </c>
    </row>
    <row r="27" spans="1:7" ht="30" customHeight="1" x14ac:dyDescent="0.3">
      <c r="A27" s="18" t="s">
        <v>85</v>
      </c>
      <c r="B27" s="18" t="s">
        <v>14</v>
      </c>
      <c r="C27" s="18" t="s">
        <v>15</v>
      </c>
      <c r="D27" s="18" t="s">
        <v>86</v>
      </c>
      <c r="E27" s="18" t="s">
        <v>87</v>
      </c>
      <c r="F27" s="18" t="s">
        <v>88</v>
      </c>
      <c r="G27" s="18" t="s">
        <v>18</v>
      </c>
    </row>
    <row r="28" spans="1:7" ht="30" customHeight="1" x14ac:dyDescent="0.3">
      <c r="A28" s="18" t="s">
        <v>85</v>
      </c>
      <c r="B28" s="18" t="s">
        <v>19</v>
      </c>
      <c r="C28" s="18" t="s">
        <v>20</v>
      </c>
      <c r="D28" s="18" t="s">
        <v>89</v>
      </c>
      <c r="E28" s="18" t="s">
        <v>90</v>
      </c>
      <c r="F28" s="18" t="s">
        <v>77</v>
      </c>
      <c r="G28" s="18" t="s">
        <v>18</v>
      </c>
    </row>
    <row r="29" spans="1:7" ht="30" customHeight="1" x14ac:dyDescent="0.3">
      <c r="A29" s="18" t="s">
        <v>91</v>
      </c>
      <c r="B29" s="18" t="s">
        <v>14</v>
      </c>
      <c r="C29" s="18" t="s">
        <v>15</v>
      </c>
      <c r="D29" s="18" t="s">
        <v>92</v>
      </c>
      <c r="E29" s="18" t="s">
        <v>93</v>
      </c>
      <c r="F29" s="18" t="s">
        <v>94</v>
      </c>
      <c r="G29" s="18" t="s">
        <v>18</v>
      </c>
    </row>
    <row r="30" spans="1:7" ht="30" customHeight="1" x14ac:dyDescent="0.3">
      <c r="A30" s="18" t="s">
        <v>91</v>
      </c>
      <c r="B30" s="18" t="s">
        <v>19</v>
      </c>
      <c r="C30" s="18" t="s">
        <v>20</v>
      </c>
      <c r="D30" s="18" t="s">
        <v>95</v>
      </c>
      <c r="E30" s="18" t="s">
        <v>96</v>
      </c>
      <c r="F30" s="18" t="s">
        <v>97</v>
      </c>
      <c r="G30" s="18" t="s">
        <v>18</v>
      </c>
    </row>
    <row r="31" spans="1:7" ht="30" customHeight="1" x14ac:dyDescent="0.3">
      <c r="A31" s="18" t="s">
        <v>98</v>
      </c>
      <c r="B31" s="18" t="s">
        <v>14</v>
      </c>
      <c r="C31" s="18" t="s">
        <v>15</v>
      </c>
      <c r="D31" s="18" t="s">
        <v>99</v>
      </c>
      <c r="E31" s="18" t="s">
        <v>100</v>
      </c>
      <c r="F31" s="18" t="s">
        <v>101</v>
      </c>
      <c r="G31" s="18" t="s">
        <v>18</v>
      </c>
    </row>
    <row r="32" spans="1:7" ht="30" customHeight="1" x14ac:dyDescent="0.3">
      <c r="A32" s="18" t="s">
        <v>98</v>
      </c>
      <c r="B32" s="18" t="s">
        <v>19</v>
      </c>
      <c r="C32" s="18" t="s">
        <v>32</v>
      </c>
      <c r="D32" s="18" t="s">
        <v>102</v>
      </c>
      <c r="E32" s="18" t="s">
        <v>100</v>
      </c>
      <c r="F32" s="18" t="s">
        <v>103</v>
      </c>
      <c r="G32" s="18" t="s">
        <v>18</v>
      </c>
    </row>
    <row r="33" spans="1:7" ht="30" customHeight="1" x14ac:dyDescent="0.3">
      <c r="A33" s="18" t="s">
        <v>104</v>
      </c>
      <c r="B33" s="18" t="s">
        <v>14</v>
      </c>
      <c r="C33" s="18" t="s">
        <v>15</v>
      </c>
      <c r="D33" s="18" t="s">
        <v>105</v>
      </c>
      <c r="E33" s="18" t="s">
        <v>106</v>
      </c>
      <c r="F33" s="18" t="s">
        <v>107</v>
      </c>
      <c r="G33" s="18" t="s">
        <v>18</v>
      </c>
    </row>
    <row r="34" spans="1:7" ht="30" customHeight="1" x14ac:dyDescent="0.3">
      <c r="A34" s="18" t="s">
        <v>104</v>
      </c>
      <c r="B34" s="18" t="s">
        <v>19</v>
      </c>
      <c r="C34" s="18" t="s">
        <v>32</v>
      </c>
      <c r="D34" s="18" t="s">
        <v>108</v>
      </c>
      <c r="E34" s="18" t="s">
        <v>109</v>
      </c>
      <c r="F34" s="18" t="s">
        <v>110</v>
      </c>
      <c r="G34" s="18" t="s">
        <v>18</v>
      </c>
    </row>
    <row r="35" spans="1:7" ht="30" customHeight="1" x14ac:dyDescent="0.3">
      <c r="A35" s="18" t="s">
        <v>111</v>
      </c>
      <c r="B35" s="18" t="s">
        <v>14</v>
      </c>
      <c r="C35" s="18" t="s">
        <v>15</v>
      </c>
      <c r="D35" s="18" t="s">
        <v>112</v>
      </c>
      <c r="E35" s="18" t="s">
        <v>113</v>
      </c>
      <c r="F35" s="18" t="s">
        <v>114</v>
      </c>
      <c r="G35" s="18" t="s">
        <v>18</v>
      </c>
    </row>
    <row r="36" spans="1:7" ht="30" customHeight="1" x14ac:dyDescent="0.3">
      <c r="A36" s="18" t="s">
        <v>111</v>
      </c>
      <c r="B36" s="18" t="s">
        <v>19</v>
      </c>
      <c r="C36" s="18" t="s">
        <v>20</v>
      </c>
      <c r="D36" s="18" t="s">
        <v>115</v>
      </c>
      <c r="E36" s="18" t="s">
        <v>116</v>
      </c>
      <c r="F36" s="18" t="s">
        <v>117</v>
      </c>
      <c r="G36" s="18" t="s">
        <v>18</v>
      </c>
    </row>
    <row r="37" spans="1:7" ht="30" customHeight="1" x14ac:dyDescent="0.3">
      <c r="A37" s="18" t="s">
        <v>118</v>
      </c>
      <c r="B37" s="18" t="s">
        <v>14</v>
      </c>
      <c r="C37" s="18" t="s">
        <v>15</v>
      </c>
      <c r="D37" s="18" t="s">
        <v>119</v>
      </c>
      <c r="E37" s="18" t="s">
        <v>120</v>
      </c>
      <c r="F37" s="18" t="s">
        <v>121</v>
      </c>
      <c r="G37" s="18" t="s">
        <v>18</v>
      </c>
    </row>
    <row r="38" spans="1:7" ht="30" customHeight="1" x14ac:dyDescent="0.3">
      <c r="A38" s="18" t="s">
        <v>118</v>
      </c>
      <c r="B38" s="18" t="s">
        <v>19</v>
      </c>
      <c r="C38" s="18" t="s">
        <v>32</v>
      </c>
      <c r="D38" s="18" t="s">
        <v>122</v>
      </c>
      <c r="E38" s="18" t="s">
        <v>123</v>
      </c>
      <c r="F38" s="18" t="s">
        <v>124</v>
      </c>
      <c r="G38" s="18" t="s">
        <v>18</v>
      </c>
    </row>
    <row r="39" spans="1:7" ht="30" customHeight="1" x14ac:dyDescent="0.3">
      <c r="A39" s="18" t="s">
        <v>125</v>
      </c>
      <c r="B39" s="18" t="s">
        <v>14</v>
      </c>
      <c r="C39" s="18" t="s">
        <v>15</v>
      </c>
      <c r="D39" s="18" t="s">
        <v>126</v>
      </c>
      <c r="E39" s="18" t="s">
        <v>127</v>
      </c>
      <c r="F39" s="18" t="s">
        <v>128</v>
      </c>
      <c r="G39" s="18" t="s">
        <v>18</v>
      </c>
    </row>
    <row r="40" spans="1:7" ht="30" customHeight="1" x14ac:dyDescent="0.3">
      <c r="A40" s="18" t="s">
        <v>125</v>
      </c>
      <c r="B40" s="18" t="s">
        <v>19</v>
      </c>
      <c r="C40" s="18" t="s">
        <v>32</v>
      </c>
      <c r="D40" s="18" t="s">
        <v>129</v>
      </c>
      <c r="E40" s="18" t="s">
        <v>130</v>
      </c>
      <c r="F40" s="18" t="s">
        <v>131</v>
      </c>
      <c r="G40" s="18" t="s">
        <v>18</v>
      </c>
    </row>
    <row r="41" spans="1:7" ht="30" customHeight="1" x14ac:dyDescent="0.3">
      <c r="A41" s="18" t="s">
        <v>132</v>
      </c>
      <c r="B41" s="18" t="s">
        <v>14</v>
      </c>
      <c r="C41" s="18" t="s">
        <v>15</v>
      </c>
      <c r="D41" s="18" t="s">
        <v>133</v>
      </c>
      <c r="E41" s="18" t="s">
        <v>134</v>
      </c>
      <c r="F41" s="18" t="s">
        <v>135</v>
      </c>
      <c r="G41" s="18" t="s">
        <v>18</v>
      </c>
    </row>
    <row r="42" spans="1:7" ht="30" customHeight="1" x14ac:dyDescent="0.3">
      <c r="A42" s="18" t="s">
        <v>132</v>
      </c>
      <c r="B42" s="18" t="s">
        <v>19</v>
      </c>
      <c r="C42" s="18" t="s">
        <v>20</v>
      </c>
      <c r="D42" s="18" t="s">
        <v>136</v>
      </c>
      <c r="E42" s="18" t="s">
        <v>137</v>
      </c>
      <c r="F42" s="18" t="s">
        <v>138</v>
      </c>
      <c r="G42" s="18" t="s">
        <v>18</v>
      </c>
    </row>
    <row r="43" spans="1:7" ht="30" customHeight="1" x14ac:dyDescent="0.3">
      <c r="A43" s="18" t="s">
        <v>139</v>
      </c>
      <c r="B43" s="18" t="s">
        <v>14</v>
      </c>
      <c r="C43" s="18" t="s">
        <v>15</v>
      </c>
      <c r="D43" s="18" t="s">
        <v>140</v>
      </c>
      <c r="E43" s="18" t="s">
        <v>113</v>
      </c>
      <c r="F43" s="18" t="s">
        <v>141</v>
      </c>
      <c r="G43" s="18" t="s">
        <v>18</v>
      </c>
    </row>
    <row r="44" spans="1:7" ht="30" customHeight="1" x14ac:dyDescent="0.3">
      <c r="A44" s="18" t="s">
        <v>139</v>
      </c>
      <c r="B44" s="18" t="s">
        <v>19</v>
      </c>
      <c r="C44" s="18" t="s">
        <v>32</v>
      </c>
      <c r="D44" s="18" t="s">
        <v>142</v>
      </c>
      <c r="E44" s="18" t="s">
        <v>143</v>
      </c>
      <c r="F44" s="18" t="s">
        <v>144</v>
      </c>
      <c r="G44" s="18" t="s">
        <v>18</v>
      </c>
    </row>
    <row r="45" spans="1:7" ht="30" customHeight="1" x14ac:dyDescent="0.3">
      <c r="A45" s="18" t="s">
        <v>145</v>
      </c>
      <c r="B45" s="18" t="s">
        <v>14</v>
      </c>
      <c r="C45" s="18" t="s">
        <v>15</v>
      </c>
      <c r="D45" s="18" t="s">
        <v>146</v>
      </c>
      <c r="E45" s="18" t="s">
        <v>120</v>
      </c>
      <c r="F45" s="18" t="s">
        <v>147</v>
      </c>
      <c r="G45" s="18" t="s">
        <v>18</v>
      </c>
    </row>
    <row r="46" spans="1:7" ht="30" customHeight="1" x14ac:dyDescent="0.3">
      <c r="A46" s="18" t="s">
        <v>145</v>
      </c>
      <c r="B46" s="18" t="s">
        <v>19</v>
      </c>
      <c r="C46" s="18" t="s">
        <v>32</v>
      </c>
      <c r="D46" s="18" t="s">
        <v>148</v>
      </c>
      <c r="E46" s="18" t="s">
        <v>149</v>
      </c>
      <c r="F46" s="18" t="s">
        <v>150</v>
      </c>
      <c r="G46" s="18" t="s">
        <v>18</v>
      </c>
    </row>
    <row r="47" spans="1:7" ht="30" customHeight="1" x14ac:dyDescent="0.3">
      <c r="A47" s="18" t="s">
        <v>151</v>
      </c>
      <c r="B47" s="18" t="s">
        <v>14</v>
      </c>
      <c r="C47" s="18" t="s">
        <v>15</v>
      </c>
      <c r="D47" s="18" t="s">
        <v>152</v>
      </c>
      <c r="E47" s="18" t="s">
        <v>153</v>
      </c>
      <c r="F47" s="18" t="s">
        <v>154</v>
      </c>
      <c r="G47" s="18" t="s">
        <v>18</v>
      </c>
    </row>
    <row r="48" spans="1:7" ht="30" customHeight="1" x14ac:dyDescent="0.3">
      <c r="A48" s="18" t="s">
        <v>151</v>
      </c>
      <c r="B48" s="18" t="s">
        <v>19</v>
      </c>
      <c r="C48" s="18" t="s">
        <v>32</v>
      </c>
      <c r="D48" s="18" t="s">
        <v>155</v>
      </c>
      <c r="E48" s="18" t="s">
        <v>156</v>
      </c>
      <c r="F48" s="18" t="s">
        <v>157</v>
      </c>
      <c r="G48" s="18" t="s">
        <v>18</v>
      </c>
    </row>
    <row r="49" spans="1:7" ht="30" customHeight="1" x14ac:dyDescent="0.3">
      <c r="A49" s="12"/>
      <c r="B49" s="12"/>
      <c r="C49" s="12"/>
      <c r="D49" s="12"/>
      <c r="E49" s="12"/>
      <c r="F49" s="12"/>
      <c r="G49" s="12"/>
    </row>
    <row r="50" spans="1:7" ht="30" customHeight="1" x14ac:dyDescent="0.3">
      <c r="A50" s="12"/>
      <c r="B50" s="12"/>
      <c r="C50" s="12"/>
      <c r="D50" s="12"/>
      <c r="E50" s="12"/>
      <c r="F50" s="12"/>
      <c r="G50" s="12"/>
    </row>
    <row r="51" spans="1:7" ht="30" customHeight="1" x14ac:dyDescent="0.3">
      <c r="A51" s="12"/>
      <c r="B51" s="12"/>
      <c r="C51" s="12"/>
      <c r="D51" s="12"/>
      <c r="E51" s="12"/>
      <c r="F51" s="12"/>
      <c r="G51" s="12"/>
    </row>
    <row r="52" spans="1:7" ht="30" customHeight="1" x14ac:dyDescent="0.3">
      <c r="A52" s="12"/>
      <c r="B52" s="12"/>
      <c r="C52" s="12"/>
      <c r="D52" s="12"/>
      <c r="E52" s="12"/>
      <c r="F52" s="12"/>
      <c r="G52" s="12"/>
    </row>
    <row r="53" spans="1:7" ht="30" customHeight="1" x14ac:dyDescent="0.3">
      <c r="A53" s="12"/>
      <c r="B53" s="12"/>
      <c r="C53" s="12"/>
      <c r="D53" s="12"/>
      <c r="E53" s="12"/>
      <c r="F53" s="12"/>
      <c r="G53" s="12"/>
    </row>
    <row r="54" spans="1:7" ht="30" customHeight="1" x14ac:dyDescent="0.3">
      <c r="A54" s="12"/>
      <c r="B54" s="12"/>
      <c r="C54" s="12"/>
      <c r="D54" s="12"/>
      <c r="E54" s="12"/>
      <c r="F54" s="12"/>
      <c r="G54" s="12"/>
    </row>
    <row r="55" spans="1:7" ht="30" customHeight="1" x14ac:dyDescent="0.3">
      <c r="A55" s="12"/>
      <c r="B55" s="12"/>
      <c r="C55" s="12"/>
      <c r="D55" s="12"/>
      <c r="E55" s="12"/>
      <c r="F55" s="12"/>
      <c r="G55" s="12"/>
    </row>
    <row r="56" spans="1:7" ht="30" customHeight="1" x14ac:dyDescent="0.3">
      <c r="A56" s="12"/>
      <c r="B56" s="12"/>
      <c r="C56" s="12"/>
      <c r="D56" s="12"/>
      <c r="E56" s="12"/>
      <c r="F56" s="12"/>
      <c r="G56" s="12"/>
    </row>
    <row r="57" spans="1:7" ht="30" customHeight="1" x14ac:dyDescent="0.3">
      <c r="A57" s="12"/>
      <c r="B57" s="12"/>
      <c r="C57" s="12"/>
      <c r="D57" s="12"/>
      <c r="E57" s="12"/>
      <c r="F57" s="12"/>
      <c r="G57" s="12"/>
    </row>
    <row r="58" spans="1:7" ht="30" customHeight="1" x14ac:dyDescent="0.3">
      <c r="A58" s="12"/>
      <c r="B58" s="12"/>
      <c r="C58" s="12"/>
      <c r="D58" s="12"/>
      <c r="E58" s="12"/>
      <c r="F58" s="12"/>
      <c r="G58" s="12"/>
    </row>
    <row r="59" spans="1:7" ht="30" customHeight="1" x14ac:dyDescent="0.3">
      <c r="A59" s="12"/>
      <c r="B59" s="12"/>
      <c r="C59" s="12"/>
      <c r="D59" s="12"/>
      <c r="E59" s="12"/>
      <c r="F59" s="12"/>
      <c r="G59" s="12"/>
    </row>
    <row r="60" spans="1:7" ht="30" customHeight="1" x14ac:dyDescent="0.3">
      <c r="A60" s="12"/>
      <c r="B60" s="12"/>
      <c r="C60" s="12"/>
      <c r="D60" s="12"/>
      <c r="E60" s="12"/>
      <c r="F60" s="12"/>
      <c r="G60" s="12"/>
    </row>
    <row r="61" spans="1:7" ht="30" customHeight="1" x14ac:dyDescent="0.3">
      <c r="A61" s="12"/>
      <c r="B61" s="12"/>
      <c r="C61" s="12"/>
      <c r="D61" s="12"/>
      <c r="E61" s="12"/>
      <c r="F61" s="12"/>
      <c r="G61" s="12"/>
    </row>
    <row r="62" spans="1:7" ht="30" customHeight="1" x14ac:dyDescent="0.3">
      <c r="A62" s="12"/>
      <c r="B62" s="12"/>
      <c r="C62" s="12"/>
      <c r="D62" s="12"/>
      <c r="E62" s="12"/>
      <c r="F62" s="12"/>
      <c r="G62" s="12"/>
    </row>
    <row r="63" spans="1:7" ht="30" customHeight="1" x14ac:dyDescent="0.3">
      <c r="A63" s="12"/>
      <c r="B63" s="12"/>
      <c r="C63" s="12"/>
      <c r="D63" s="12"/>
      <c r="E63" s="12"/>
      <c r="F63" s="12"/>
      <c r="G63" s="12"/>
    </row>
    <row r="64" spans="1:7" ht="30" customHeight="1" x14ac:dyDescent="0.3">
      <c r="A64" s="12"/>
      <c r="B64" s="12"/>
      <c r="C64" s="12"/>
      <c r="D64" s="12"/>
      <c r="E64" s="12"/>
      <c r="F64" s="12"/>
      <c r="G64" s="12"/>
    </row>
    <row r="65" spans="1:7" ht="30" customHeight="1" x14ac:dyDescent="0.3">
      <c r="A65" s="12"/>
      <c r="B65" s="12"/>
      <c r="C65" s="12"/>
      <c r="D65" s="12"/>
      <c r="E65" s="12"/>
      <c r="F65" s="12"/>
      <c r="G65" s="12"/>
    </row>
    <row r="66" spans="1:7" ht="30" customHeight="1" x14ac:dyDescent="0.3">
      <c r="A66" s="12"/>
      <c r="B66" s="12"/>
      <c r="C66" s="12"/>
      <c r="D66" s="12"/>
      <c r="E66" s="12"/>
      <c r="F66" s="12"/>
      <c r="G66" s="12"/>
    </row>
    <row r="67" spans="1:7" ht="30" customHeight="1" x14ac:dyDescent="0.3">
      <c r="A67" s="12"/>
      <c r="B67" s="12"/>
      <c r="C67" s="12"/>
      <c r="D67" s="12"/>
      <c r="E67" s="12"/>
      <c r="F67" s="12"/>
      <c r="G67" s="12"/>
    </row>
    <row r="68" spans="1:7" ht="30" customHeight="1" x14ac:dyDescent="0.3">
      <c r="A68" s="12"/>
      <c r="B68" s="12"/>
      <c r="C68" s="12"/>
      <c r="D68" s="12"/>
      <c r="E68" s="12"/>
      <c r="F68" s="12"/>
      <c r="G68" s="12"/>
    </row>
    <row r="69" spans="1:7" ht="30" customHeight="1" x14ac:dyDescent="0.3">
      <c r="A69" s="12"/>
      <c r="B69" s="12"/>
      <c r="C69" s="12"/>
      <c r="D69" s="12"/>
      <c r="E69" s="12"/>
      <c r="F69" s="12"/>
      <c r="G69" s="12"/>
    </row>
    <row r="70" spans="1:7" ht="30" customHeight="1" x14ac:dyDescent="0.3">
      <c r="A70" s="12"/>
      <c r="B70" s="12"/>
      <c r="C70" s="12"/>
      <c r="D70" s="12"/>
      <c r="E70" s="12"/>
      <c r="F70" s="12"/>
      <c r="G70" s="12"/>
    </row>
    <row r="71" spans="1:7" ht="30" customHeight="1" x14ac:dyDescent="0.3">
      <c r="A71" s="12"/>
      <c r="B71" s="12"/>
      <c r="C71" s="12"/>
      <c r="D71" s="12"/>
      <c r="E71" s="12"/>
      <c r="F71" s="12"/>
      <c r="G71" s="12"/>
    </row>
    <row r="72" spans="1:7" ht="30" customHeight="1" x14ac:dyDescent="0.3">
      <c r="A72" s="12"/>
      <c r="B72" s="12"/>
      <c r="C72" s="12"/>
      <c r="D72" s="12"/>
      <c r="E72" s="12"/>
      <c r="F72" s="12"/>
      <c r="G72" s="12"/>
    </row>
    <row r="73" spans="1:7" ht="30" customHeight="1" x14ac:dyDescent="0.3">
      <c r="A73" s="12"/>
      <c r="B73" s="12"/>
      <c r="C73" s="12"/>
      <c r="D73" s="12"/>
      <c r="E73" s="12"/>
      <c r="F73" s="12"/>
      <c r="G73" s="12"/>
    </row>
    <row r="74" spans="1:7" ht="30" customHeight="1" x14ac:dyDescent="0.3">
      <c r="A74" s="12"/>
      <c r="B74" s="12"/>
      <c r="C74" s="12"/>
      <c r="D74" s="12"/>
      <c r="E74" s="12"/>
      <c r="F74" s="12"/>
      <c r="G74" s="12"/>
    </row>
    <row r="75" spans="1:7" ht="30" customHeight="1" x14ac:dyDescent="0.3">
      <c r="A75" s="12"/>
      <c r="B75" s="12"/>
      <c r="C75" s="12"/>
      <c r="D75" s="12"/>
      <c r="E75" s="12"/>
      <c r="F75" s="12"/>
      <c r="G75" s="12"/>
    </row>
    <row r="76" spans="1:7" ht="30" customHeight="1" x14ac:dyDescent="0.3">
      <c r="A76" s="12"/>
      <c r="B76" s="12"/>
      <c r="C76" s="12"/>
      <c r="D76" s="12"/>
      <c r="E76" s="12"/>
      <c r="F76" s="12"/>
      <c r="G76" s="12"/>
    </row>
    <row r="77" spans="1:7" ht="30" customHeight="1" x14ac:dyDescent="0.3">
      <c r="A77" s="12"/>
      <c r="B77" s="12"/>
      <c r="C77" s="12"/>
      <c r="D77" s="12"/>
      <c r="E77" s="12"/>
      <c r="F77" s="12"/>
      <c r="G77" s="12"/>
    </row>
    <row r="78" spans="1:7" ht="30" customHeight="1" x14ac:dyDescent="0.3">
      <c r="A78" s="12"/>
      <c r="B78" s="12"/>
      <c r="C78" s="12"/>
      <c r="D78" s="12"/>
      <c r="E78" s="12"/>
      <c r="F78" s="12"/>
      <c r="G78" s="12"/>
    </row>
    <row r="79" spans="1:7" ht="30" customHeight="1" x14ac:dyDescent="0.3">
      <c r="A79" s="12"/>
      <c r="B79" s="12"/>
      <c r="C79" s="12"/>
      <c r="D79" s="12"/>
      <c r="E79" s="12"/>
      <c r="F79" s="12"/>
      <c r="G79" s="12"/>
    </row>
    <row r="80" spans="1:7" ht="30" customHeight="1" x14ac:dyDescent="0.3">
      <c r="A80" s="12"/>
      <c r="B80" s="12"/>
      <c r="C80" s="12"/>
      <c r="D80" s="12"/>
      <c r="E80" s="12"/>
      <c r="F80" s="12"/>
      <c r="G80" s="12"/>
    </row>
    <row r="81" spans="1:7" ht="30" customHeight="1" x14ac:dyDescent="0.3">
      <c r="A81" s="12"/>
      <c r="B81" s="12"/>
      <c r="C81" s="12"/>
      <c r="D81" s="12"/>
      <c r="E81" s="12"/>
      <c r="F81" s="12"/>
      <c r="G81" s="12"/>
    </row>
    <row r="82" spans="1:7" ht="30" customHeight="1" x14ac:dyDescent="0.3">
      <c r="A82" s="12"/>
      <c r="B82" s="12"/>
      <c r="C82" s="12"/>
      <c r="D82" s="12"/>
      <c r="E82" s="12"/>
      <c r="F82" s="12"/>
      <c r="G82" s="12"/>
    </row>
    <row r="83" spans="1:7" ht="30" customHeight="1" x14ac:dyDescent="0.3">
      <c r="A83" s="12"/>
      <c r="B83" s="12"/>
      <c r="C83" s="12"/>
      <c r="D83" s="12"/>
      <c r="E83" s="12"/>
      <c r="F83" s="12"/>
      <c r="G83" s="12"/>
    </row>
    <row r="84" spans="1:7" ht="30" customHeight="1" x14ac:dyDescent="0.3">
      <c r="A84" s="12"/>
      <c r="B84" s="12"/>
      <c r="C84" s="12"/>
      <c r="D84" s="12"/>
      <c r="E84" s="12"/>
      <c r="F84" s="12"/>
      <c r="G84" s="12"/>
    </row>
    <row r="85" spans="1:7" ht="30" customHeight="1" x14ac:dyDescent="0.3">
      <c r="A85" s="12"/>
      <c r="B85" s="12"/>
      <c r="C85" s="12"/>
      <c r="D85" s="12"/>
      <c r="E85" s="12"/>
      <c r="F85" s="12"/>
      <c r="G85" s="12"/>
    </row>
    <row r="86" spans="1:7" ht="30" customHeight="1" x14ac:dyDescent="0.3">
      <c r="A86" s="12"/>
      <c r="B86" s="12"/>
      <c r="C86" s="12"/>
      <c r="D86" s="12"/>
      <c r="E86" s="12"/>
      <c r="F86" s="12"/>
      <c r="G86" s="12"/>
    </row>
    <row r="87" spans="1:7" ht="30" customHeight="1" x14ac:dyDescent="0.3">
      <c r="A87" s="12"/>
      <c r="B87" s="12"/>
      <c r="C87" s="12"/>
      <c r="D87" s="12"/>
      <c r="E87" s="12"/>
      <c r="F87" s="12"/>
      <c r="G87" s="12"/>
    </row>
    <row r="88" spans="1:7" ht="30" customHeight="1" x14ac:dyDescent="0.3">
      <c r="A88" s="12"/>
      <c r="B88" s="12"/>
      <c r="C88" s="12"/>
      <c r="D88" s="12"/>
      <c r="E88" s="12"/>
      <c r="F88" s="12"/>
      <c r="G88" s="12"/>
    </row>
    <row r="89" spans="1:7" ht="30" customHeight="1" x14ac:dyDescent="0.3">
      <c r="A89" s="12"/>
      <c r="B89" s="12"/>
      <c r="C89" s="12"/>
      <c r="D89" s="12"/>
      <c r="E89" s="12"/>
      <c r="F89" s="12"/>
      <c r="G89" s="12"/>
    </row>
    <row r="90" spans="1:7" ht="30" customHeight="1" x14ac:dyDescent="0.3">
      <c r="A90" s="12"/>
      <c r="B90" s="12"/>
      <c r="C90" s="12"/>
      <c r="D90" s="12"/>
      <c r="E90" s="12"/>
      <c r="F90" s="12"/>
      <c r="G90" s="12"/>
    </row>
    <row r="91" spans="1:7" ht="30" customHeight="1" x14ac:dyDescent="0.3">
      <c r="A91" s="12"/>
      <c r="B91" s="12"/>
      <c r="C91" s="12"/>
      <c r="D91" s="12"/>
      <c r="E91" s="12"/>
      <c r="F91" s="12"/>
      <c r="G91" s="12"/>
    </row>
    <row r="92" spans="1:7" ht="30" customHeight="1" x14ac:dyDescent="0.3">
      <c r="A92" s="12"/>
      <c r="B92" s="12"/>
      <c r="C92" s="12"/>
      <c r="D92" s="12"/>
      <c r="E92" s="12"/>
      <c r="F92" s="12"/>
      <c r="G92" s="12"/>
    </row>
    <row r="93" spans="1:7" ht="30" customHeight="1" x14ac:dyDescent="0.3">
      <c r="A93" s="12"/>
      <c r="B93" s="12"/>
      <c r="C93" s="12"/>
      <c r="D93" s="12"/>
      <c r="E93" s="12"/>
      <c r="F93" s="12"/>
      <c r="G93" s="12"/>
    </row>
    <row r="94" spans="1:7" ht="30" customHeight="1" x14ac:dyDescent="0.3">
      <c r="A94" s="12"/>
      <c r="B94" s="12"/>
      <c r="C94" s="12"/>
      <c r="D94" s="12"/>
      <c r="E94" s="12"/>
      <c r="F94" s="12"/>
      <c r="G94" s="12"/>
    </row>
    <row r="95" spans="1:7" ht="30" customHeight="1" x14ac:dyDescent="0.3">
      <c r="A95" s="12"/>
      <c r="B95" s="12"/>
      <c r="C95" s="12"/>
      <c r="D95" s="12"/>
      <c r="E95" s="12"/>
      <c r="F95" s="12"/>
      <c r="G95" s="12"/>
    </row>
    <row r="96" spans="1:7" ht="30" customHeight="1" x14ac:dyDescent="0.3">
      <c r="A96" s="12"/>
      <c r="B96" s="12"/>
      <c r="C96" s="12"/>
      <c r="D96" s="12"/>
      <c r="E96" s="12"/>
      <c r="F96" s="12"/>
      <c r="G96" s="12"/>
    </row>
    <row r="97" spans="1:7" ht="30" customHeight="1" x14ac:dyDescent="0.3">
      <c r="A97" s="12"/>
      <c r="B97" s="12"/>
      <c r="C97" s="12"/>
      <c r="D97" s="12"/>
      <c r="E97" s="12"/>
      <c r="F97" s="12"/>
      <c r="G97" s="12"/>
    </row>
    <row r="98" spans="1:7" ht="30" customHeight="1" x14ac:dyDescent="0.3">
      <c r="A98" s="12"/>
      <c r="B98" s="12"/>
      <c r="C98" s="12"/>
      <c r="D98" s="12"/>
      <c r="E98" s="12"/>
      <c r="F98" s="12"/>
      <c r="G98" s="12"/>
    </row>
    <row r="99" spans="1:7" ht="30" customHeight="1" x14ac:dyDescent="0.3">
      <c r="A99" s="12"/>
      <c r="B99" s="12"/>
      <c r="C99" s="12"/>
      <c r="D99" s="12"/>
      <c r="E99" s="12"/>
      <c r="F99" s="12"/>
      <c r="G99" s="12"/>
    </row>
    <row r="100" spans="1:7" ht="30" customHeight="1" x14ac:dyDescent="0.3">
      <c r="A100" s="12"/>
      <c r="B100" s="12"/>
      <c r="C100" s="12"/>
      <c r="D100" s="12"/>
      <c r="E100" s="12"/>
      <c r="F100" s="12"/>
      <c r="G100" s="12"/>
    </row>
    <row r="101" spans="1:7" ht="30" customHeight="1" x14ac:dyDescent="0.3">
      <c r="A101" s="12"/>
      <c r="B101" s="12"/>
      <c r="C101" s="12"/>
      <c r="D101" s="12"/>
      <c r="E101" s="12"/>
      <c r="F101" s="12"/>
      <c r="G101" s="12"/>
    </row>
    <row r="102" spans="1:7" ht="30" customHeight="1" x14ac:dyDescent="0.3">
      <c r="A102" s="12"/>
      <c r="B102" s="12"/>
      <c r="C102" s="12"/>
      <c r="D102" s="12"/>
      <c r="E102" s="12"/>
      <c r="F102" s="12"/>
      <c r="G102" s="12"/>
    </row>
    <row r="103" spans="1:7" ht="30" customHeight="1" x14ac:dyDescent="0.3">
      <c r="A103" s="12"/>
      <c r="B103" s="12"/>
      <c r="C103" s="12"/>
      <c r="D103" s="12"/>
      <c r="E103" s="12"/>
      <c r="F103" s="12"/>
      <c r="G103" s="12"/>
    </row>
    <row r="104" spans="1:7" ht="30" customHeight="1" x14ac:dyDescent="0.3">
      <c r="A104" s="12"/>
      <c r="B104" s="12"/>
      <c r="C104" s="12"/>
      <c r="D104" s="12"/>
      <c r="E104" s="12"/>
      <c r="F104" s="12"/>
      <c r="G104" s="12"/>
    </row>
    <row r="105" spans="1:7" ht="30" customHeight="1" x14ac:dyDescent="0.3">
      <c r="A105" s="12"/>
      <c r="B105" s="12"/>
      <c r="C105" s="12"/>
      <c r="D105" s="12"/>
      <c r="E105" s="12"/>
      <c r="F105" s="12"/>
      <c r="G105" s="12"/>
    </row>
    <row r="106" spans="1:7" ht="30" customHeight="1" x14ac:dyDescent="0.3">
      <c r="A106" s="12"/>
      <c r="B106" s="12"/>
      <c r="C106" s="12"/>
      <c r="D106" s="12"/>
      <c r="E106" s="12"/>
      <c r="F106" s="12"/>
      <c r="G106" s="12"/>
    </row>
    <row r="107" spans="1:7" ht="30" customHeight="1" x14ac:dyDescent="0.3">
      <c r="A107" s="12"/>
      <c r="B107" s="12"/>
      <c r="C107" s="12"/>
      <c r="D107" s="12"/>
      <c r="E107" s="12"/>
      <c r="F107" s="12"/>
      <c r="G107" s="12"/>
    </row>
    <row r="108" spans="1:7" ht="30" customHeight="1" x14ac:dyDescent="0.3">
      <c r="A108" s="12"/>
      <c r="B108" s="12"/>
      <c r="C108" s="12"/>
      <c r="D108" s="12"/>
      <c r="E108" s="12"/>
      <c r="F108" s="12"/>
      <c r="G108" s="12"/>
    </row>
    <row r="109" spans="1:7" ht="30" customHeight="1" x14ac:dyDescent="0.3">
      <c r="A109" s="12"/>
      <c r="B109" s="12"/>
      <c r="C109" s="12"/>
      <c r="D109" s="12"/>
      <c r="E109" s="12"/>
      <c r="F109" s="12"/>
      <c r="G109" s="12"/>
    </row>
    <row r="110" spans="1:7" ht="30" customHeight="1" x14ac:dyDescent="0.3">
      <c r="A110" s="12"/>
      <c r="B110" s="12"/>
      <c r="C110" s="12"/>
      <c r="D110" s="12"/>
      <c r="E110" s="12"/>
      <c r="F110" s="12"/>
      <c r="G110" s="12"/>
    </row>
    <row r="111" spans="1:7" ht="30" customHeight="1" x14ac:dyDescent="0.3">
      <c r="A111" s="12"/>
      <c r="B111" s="12"/>
      <c r="C111" s="12"/>
      <c r="D111" s="12"/>
      <c r="E111" s="12"/>
      <c r="F111" s="12"/>
      <c r="G111" s="12"/>
    </row>
    <row r="112" spans="1:7" ht="30" customHeight="1" x14ac:dyDescent="0.3">
      <c r="A112" s="12"/>
      <c r="B112" s="12"/>
      <c r="C112" s="12"/>
      <c r="D112" s="12"/>
      <c r="E112" s="12"/>
      <c r="F112" s="12"/>
      <c r="G112" s="12"/>
    </row>
    <row r="113" spans="1:7" ht="30" customHeight="1" x14ac:dyDescent="0.3">
      <c r="A113" s="12"/>
      <c r="B113" s="12"/>
      <c r="C113" s="12"/>
      <c r="D113" s="12"/>
      <c r="E113" s="12"/>
      <c r="F113" s="12"/>
      <c r="G113" s="12"/>
    </row>
    <row r="114" spans="1:7" ht="30" customHeight="1" x14ac:dyDescent="0.3">
      <c r="A114" s="12"/>
      <c r="B114" s="12"/>
      <c r="C114" s="12"/>
      <c r="D114" s="12"/>
      <c r="E114" s="12"/>
      <c r="F114" s="12"/>
      <c r="G114" s="12"/>
    </row>
    <row r="115" spans="1:7" ht="30" customHeight="1" x14ac:dyDescent="0.3">
      <c r="A115" s="12"/>
      <c r="B115" s="12"/>
      <c r="C115" s="12"/>
      <c r="D115" s="12"/>
      <c r="E115" s="12"/>
      <c r="F115" s="12"/>
      <c r="G115" s="12"/>
    </row>
    <row r="116" spans="1:7" ht="30" customHeight="1" x14ac:dyDescent="0.3">
      <c r="A116" s="12"/>
      <c r="B116" s="12"/>
      <c r="C116" s="12"/>
      <c r="D116" s="12"/>
      <c r="E116" s="12"/>
      <c r="F116" s="12"/>
      <c r="G116" s="12"/>
    </row>
    <row r="117" spans="1:7" ht="30" customHeight="1" x14ac:dyDescent="0.3">
      <c r="A117" s="12"/>
      <c r="B117" s="12"/>
      <c r="C117" s="12"/>
      <c r="D117" s="12"/>
      <c r="E117" s="12"/>
      <c r="F117" s="12"/>
      <c r="G117" s="12"/>
    </row>
    <row r="118" spans="1:7" ht="30" customHeight="1" x14ac:dyDescent="0.3">
      <c r="A118" s="12"/>
      <c r="B118" s="12"/>
      <c r="C118" s="12"/>
      <c r="D118" s="12"/>
      <c r="E118" s="12"/>
      <c r="F118" s="12"/>
      <c r="G118" s="12"/>
    </row>
    <row r="119" spans="1:7" ht="30" customHeight="1" x14ac:dyDescent="0.3">
      <c r="A119" s="12"/>
      <c r="B119" s="12"/>
      <c r="C119" s="12"/>
      <c r="D119" s="12"/>
      <c r="E119" s="12"/>
      <c r="F119" s="12"/>
      <c r="G119" s="12"/>
    </row>
    <row r="120" spans="1:7" ht="30" customHeight="1" x14ac:dyDescent="0.3">
      <c r="A120" s="12"/>
      <c r="B120" s="12"/>
      <c r="C120" s="12"/>
      <c r="D120" s="12"/>
      <c r="E120" s="12"/>
      <c r="F120" s="12"/>
      <c r="G120" s="12"/>
    </row>
    <row r="121" spans="1:7" ht="30" customHeight="1" x14ac:dyDescent="0.3">
      <c r="A121" s="12"/>
      <c r="B121" s="12"/>
      <c r="C121" s="12"/>
      <c r="D121" s="12"/>
      <c r="E121" s="12"/>
      <c r="F121" s="12"/>
      <c r="G121" s="12"/>
    </row>
    <row r="122" spans="1:7" ht="30" customHeight="1" x14ac:dyDescent="0.3">
      <c r="A122" s="12"/>
      <c r="B122" s="12"/>
      <c r="C122" s="12"/>
      <c r="D122" s="12"/>
      <c r="E122" s="12"/>
      <c r="F122" s="12"/>
      <c r="G122" s="12"/>
    </row>
    <row r="123" spans="1:7" ht="30" customHeight="1" x14ac:dyDescent="0.3">
      <c r="A123" s="12"/>
      <c r="B123" s="12"/>
      <c r="C123" s="12"/>
      <c r="D123" s="12"/>
      <c r="E123" s="12"/>
      <c r="F123" s="12"/>
      <c r="G123" s="12"/>
    </row>
    <row r="124" spans="1:7" ht="30" customHeight="1" x14ac:dyDescent="0.3">
      <c r="A124" s="12"/>
      <c r="B124" s="12"/>
      <c r="C124" s="12"/>
      <c r="D124" s="12"/>
      <c r="E124" s="12"/>
      <c r="F124" s="12"/>
      <c r="G124" s="12"/>
    </row>
    <row r="125" spans="1:7" ht="30" customHeight="1" x14ac:dyDescent="0.3">
      <c r="A125" s="12"/>
      <c r="B125" s="12"/>
      <c r="C125" s="12"/>
      <c r="D125" s="12"/>
      <c r="E125" s="12"/>
      <c r="F125" s="12"/>
      <c r="G125" s="12"/>
    </row>
    <row r="126" spans="1:7" ht="30" customHeight="1" x14ac:dyDescent="0.3">
      <c r="A126" s="12"/>
      <c r="B126" s="12"/>
      <c r="C126" s="12"/>
      <c r="D126" s="12"/>
      <c r="E126" s="12"/>
      <c r="F126" s="12"/>
      <c r="G126" s="12"/>
    </row>
    <row r="127" spans="1:7" ht="30" customHeight="1" x14ac:dyDescent="0.3">
      <c r="A127" s="12"/>
      <c r="B127" s="12"/>
      <c r="C127" s="12"/>
      <c r="D127" s="12"/>
      <c r="E127" s="12"/>
      <c r="F127" s="12"/>
      <c r="G127" s="12"/>
    </row>
    <row r="128" spans="1:7" ht="30" customHeight="1" x14ac:dyDescent="0.3">
      <c r="A128" s="12"/>
      <c r="B128" s="12"/>
      <c r="C128" s="12"/>
      <c r="D128" s="12"/>
      <c r="E128" s="12"/>
      <c r="F128" s="12"/>
      <c r="G128" s="12"/>
    </row>
    <row r="129" spans="1:7" ht="30" customHeight="1" x14ac:dyDescent="0.3">
      <c r="A129" s="12"/>
      <c r="B129" s="12"/>
      <c r="C129" s="12"/>
      <c r="D129" s="12"/>
      <c r="E129" s="12"/>
      <c r="F129" s="12"/>
      <c r="G129" s="12"/>
    </row>
    <row r="130" spans="1:7" ht="30" customHeight="1" x14ac:dyDescent="0.3">
      <c r="A130" s="12"/>
      <c r="B130" s="12"/>
      <c r="C130" s="12"/>
      <c r="D130" s="12"/>
      <c r="E130" s="12"/>
      <c r="F130" s="12"/>
      <c r="G130" s="12"/>
    </row>
    <row r="131" spans="1:7" ht="30" customHeight="1" x14ac:dyDescent="0.3">
      <c r="A131" s="12"/>
      <c r="B131" s="12"/>
      <c r="C131" s="12"/>
      <c r="D131" s="12"/>
      <c r="E131" s="12"/>
      <c r="F131" s="12"/>
      <c r="G131" s="12"/>
    </row>
    <row r="132" spans="1:7" ht="30" customHeight="1" x14ac:dyDescent="0.3">
      <c r="A132" s="12"/>
      <c r="B132" s="12"/>
      <c r="C132" s="12"/>
      <c r="D132" s="12"/>
      <c r="E132" s="12"/>
      <c r="F132" s="12"/>
      <c r="G132" s="12"/>
    </row>
    <row r="133" spans="1:7" ht="30" customHeight="1" x14ac:dyDescent="0.3">
      <c r="A133" s="12"/>
      <c r="B133" s="12"/>
      <c r="C133" s="12"/>
      <c r="D133" s="12"/>
      <c r="E133" s="12"/>
      <c r="F133" s="12"/>
      <c r="G133" s="12"/>
    </row>
    <row r="134" spans="1:7" ht="30" customHeight="1" x14ac:dyDescent="0.3">
      <c r="A134" s="12"/>
      <c r="B134" s="12"/>
      <c r="C134" s="12"/>
      <c r="D134" s="12"/>
      <c r="E134" s="12"/>
      <c r="F134" s="12"/>
      <c r="G134" s="12"/>
    </row>
    <row r="135" spans="1:7" ht="30" customHeight="1" x14ac:dyDescent="0.3">
      <c r="A135" s="12"/>
      <c r="B135" s="12"/>
      <c r="C135" s="12"/>
      <c r="D135" s="12"/>
      <c r="E135" s="12"/>
      <c r="F135" s="12"/>
      <c r="G135" s="12"/>
    </row>
    <row r="136" spans="1:7" ht="30" customHeight="1" x14ac:dyDescent="0.3">
      <c r="A136" s="12"/>
      <c r="B136" s="12"/>
      <c r="C136" s="12"/>
      <c r="D136" s="12"/>
      <c r="E136" s="12"/>
      <c r="F136" s="12"/>
      <c r="G136" s="12"/>
    </row>
    <row r="137" spans="1:7" ht="30" customHeight="1" x14ac:dyDescent="0.3">
      <c r="A137" s="12"/>
      <c r="B137" s="12"/>
      <c r="C137" s="12"/>
      <c r="D137" s="12"/>
      <c r="E137" s="12"/>
      <c r="F137" s="12"/>
      <c r="G137" s="12"/>
    </row>
    <row r="138" spans="1:7" ht="30" customHeight="1" x14ac:dyDescent="0.3">
      <c r="A138" s="12"/>
      <c r="B138" s="12"/>
      <c r="C138" s="12"/>
      <c r="D138" s="12"/>
      <c r="E138" s="12"/>
      <c r="F138" s="12"/>
      <c r="G138" s="12"/>
    </row>
    <row r="139" spans="1:7" ht="30" customHeight="1" x14ac:dyDescent="0.3">
      <c r="A139" s="12"/>
      <c r="B139" s="12"/>
      <c r="C139" s="12"/>
      <c r="D139" s="12"/>
      <c r="E139" s="12"/>
      <c r="F139" s="12"/>
      <c r="G139" s="12"/>
    </row>
    <row r="140" spans="1:7" ht="30" customHeight="1" x14ac:dyDescent="0.3">
      <c r="A140" s="12"/>
      <c r="B140" s="12"/>
      <c r="C140" s="12"/>
      <c r="D140" s="12"/>
      <c r="E140" s="12"/>
      <c r="F140" s="12"/>
      <c r="G140" s="12"/>
    </row>
    <row r="141" spans="1:7" ht="30" customHeight="1" x14ac:dyDescent="0.3">
      <c r="A141" s="12"/>
      <c r="B141" s="12"/>
      <c r="C141" s="12"/>
      <c r="D141" s="12"/>
      <c r="E141" s="12"/>
      <c r="F141" s="12"/>
      <c r="G141" s="12"/>
    </row>
    <row r="142" spans="1:7" ht="30" customHeight="1" x14ac:dyDescent="0.3">
      <c r="A142" s="12"/>
      <c r="B142" s="12"/>
      <c r="C142" s="12"/>
      <c r="D142" s="12"/>
      <c r="E142" s="12"/>
      <c r="F142" s="12"/>
      <c r="G142" s="12"/>
    </row>
    <row r="143" spans="1:7" ht="30" customHeight="1" x14ac:dyDescent="0.3">
      <c r="A143" s="12"/>
      <c r="B143" s="12"/>
      <c r="C143" s="12"/>
      <c r="D143" s="12"/>
      <c r="E143" s="12"/>
      <c r="F143" s="12"/>
      <c r="G143" s="12"/>
    </row>
    <row r="144" spans="1:7" ht="30" customHeight="1" x14ac:dyDescent="0.3">
      <c r="A144" s="12"/>
      <c r="B144" s="12"/>
      <c r="C144" s="12"/>
      <c r="D144" s="12"/>
      <c r="E144" s="12"/>
      <c r="F144" s="12"/>
      <c r="G144" s="12"/>
    </row>
    <row r="145" spans="1:7" ht="30" customHeight="1" x14ac:dyDescent="0.3">
      <c r="A145" s="12"/>
      <c r="B145" s="12"/>
      <c r="C145" s="12"/>
      <c r="D145" s="12"/>
      <c r="E145" s="12"/>
      <c r="F145" s="12"/>
      <c r="G145" s="12"/>
    </row>
    <row r="146" spans="1:7" ht="30" customHeight="1" x14ac:dyDescent="0.3">
      <c r="A146" s="12"/>
      <c r="B146" s="12"/>
      <c r="C146" s="12"/>
      <c r="D146" s="12"/>
      <c r="E146" s="12"/>
      <c r="F146" s="12"/>
      <c r="G146" s="12"/>
    </row>
    <row r="147" spans="1:7" ht="30" customHeight="1" x14ac:dyDescent="0.3">
      <c r="A147" s="12"/>
      <c r="B147" s="12"/>
      <c r="C147" s="12"/>
      <c r="D147" s="12"/>
      <c r="E147" s="12"/>
      <c r="F147" s="12"/>
      <c r="G147" s="12"/>
    </row>
    <row r="148" spans="1:7" ht="30" customHeight="1" x14ac:dyDescent="0.3">
      <c r="A148" s="12"/>
      <c r="B148" s="12"/>
      <c r="C148" s="12"/>
      <c r="D148" s="12"/>
      <c r="E148" s="12"/>
      <c r="F148" s="12"/>
      <c r="G148" s="12"/>
    </row>
    <row r="149" spans="1:7" ht="30" customHeight="1" x14ac:dyDescent="0.3">
      <c r="A149" s="12"/>
      <c r="B149" s="12"/>
      <c r="C149" s="12"/>
      <c r="D149" s="12"/>
      <c r="E149" s="12"/>
      <c r="F149" s="12"/>
      <c r="G149" s="12"/>
    </row>
    <row r="150" spans="1:7" ht="30" customHeight="1" x14ac:dyDescent="0.3">
      <c r="A150" s="12"/>
      <c r="B150" s="12"/>
      <c r="C150" s="12"/>
      <c r="D150" s="12"/>
      <c r="E150" s="12"/>
      <c r="F150" s="12"/>
      <c r="G150" s="12"/>
    </row>
    <row r="151" spans="1:7" ht="30" customHeight="1" x14ac:dyDescent="0.3">
      <c r="A151" s="12"/>
      <c r="B151" s="12"/>
      <c r="C151" s="12"/>
      <c r="D151" s="12"/>
      <c r="E151" s="12"/>
      <c r="F151" s="12"/>
      <c r="G151" s="12"/>
    </row>
    <row r="152" spans="1:7" ht="30" customHeight="1" x14ac:dyDescent="0.3">
      <c r="A152" s="12"/>
      <c r="B152" s="12"/>
      <c r="C152" s="12"/>
      <c r="D152" s="12"/>
      <c r="E152" s="12"/>
      <c r="F152" s="12"/>
      <c r="G152" s="12"/>
    </row>
    <row r="153" spans="1:7" ht="30" customHeight="1" x14ac:dyDescent="0.3">
      <c r="A153" s="12"/>
      <c r="B153" s="12"/>
      <c r="C153" s="12"/>
      <c r="D153" s="12"/>
      <c r="E153" s="12"/>
      <c r="F153" s="12"/>
      <c r="G153" s="12"/>
    </row>
    <row r="154" spans="1:7" ht="30" customHeight="1" x14ac:dyDescent="0.3">
      <c r="A154" s="12"/>
      <c r="B154" s="12"/>
      <c r="C154" s="12"/>
      <c r="D154" s="12"/>
      <c r="E154" s="12"/>
      <c r="F154" s="12"/>
      <c r="G154" s="12"/>
    </row>
    <row r="155" spans="1:7" ht="30" customHeight="1" x14ac:dyDescent="0.3">
      <c r="A155" s="12"/>
      <c r="B155" s="12"/>
      <c r="C155" s="12"/>
      <c r="D155" s="12"/>
      <c r="E155" s="12"/>
      <c r="F155" s="12"/>
      <c r="G155" s="12"/>
    </row>
    <row r="156" spans="1:7" ht="30" customHeight="1" x14ac:dyDescent="0.3">
      <c r="A156" s="12"/>
      <c r="B156" s="12"/>
      <c r="C156" s="12"/>
      <c r="D156" s="12"/>
      <c r="E156" s="12"/>
      <c r="F156" s="12"/>
      <c r="G156" s="12"/>
    </row>
    <row r="157" spans="1:7" ht="30" customHeight="1" x14ac:dyDescent="0.3">
      <c r="A157" s="12"/>
      <c r="B157" s="12"/>
      <c r="C157" s="12"/>
      <c r="D157" s="12"/>
      <c r="E157" s="12"/>
      <c r="F157" s="12"/>
      <c r="G157" s="12"/>
    </row>
    <row r="158" spans="1:7" ht="30" customHeight="1" x14ac:dyDescent="0.3">
      <c r="A158" s="12"/>
      <c r="B158" s="12"/>
      <c r="C158" s="12"/>
      <c r="D158" s="12"/>
      <c r="E158" s="12"/>
      <c r="F158" s="12"/>
      <c r="G158" s="12"/>
    </row>
    <row r="159" spans="1:7" ht="30" customHeight="1" x14ac:dyDescent="0.3">
      <c r="A159" s="12"/>
      <c r="B159" s="12"/>
      <c r="C159" s="12"/>
      <c r="D159" s="12"/>
      <c r="E159" s="12"/>
      <c r="F159" s="12"/>
      <c r="G159" s="12"/>
    </row>
    <row r="160" spans="1:7" ht="30" customHeight="1" x14ac:dyDescent="0.3">
      <c r="A160" s="12"/>
      <c r="B160" s="12"/>
      <c r="C160" s="12"/>
      <c r="D160" s="12"/>
      <c r="E160" s="12"/>
      <c r="F160" s="12"/>
      <c r="G160" s="12"/>
    </row>
    <row r="161" spans="1:7" ht="30" customHeight="1" x14ac:dyDescent="0.3">
      <c r="A161" s="12"/>
      <c r="B161" s="12"/>
      <c r="C161" s="12"/>
      <c r="D161" s="12"/>
      <c r="E161" s="12"/>
      <c r="F161" s="12"/>
      <c r="G161" s="12"/>
    </row>
    <row r="162" spans="1:7" ht="30" customHeight="1" x14ac:dyDescent="0.3">
      <c r="A162" s="12"/>
      <c r="B162" s="12"/>
      <c r="C162" s="12"/>
      <c r="D162" s="12"/>
      <c r="E162" s="12"/>
      <c r="F162" s="12"/>
      <c r="G162" s="12"/>
    </row>
    <row r="163" spans="1:7" ht="30" customHeight="1" x14ac:dyDescent="0.3">
      <c r="A163" s="12"/>
      <c r="B163" s="12"/>
      <c r="C163" s="12"/>
      <c r="D163" s="12"/>
      <c r="E163" s="12"/>
      <c r="F163" s="12"/>
      <c r="G163" s="12"/>
    </row>
    <row r="164" spans="1:7" ht="30" customHeight="1" x14ac:dyDescent="0.3">
      <c r="A164" s="12"/>
      <c r="B164" s="12"/>
      <c r="C164" s="12"/>
      <c r="D164" s="12"/>
      <c r="E164" s="12"/>
      <c r="F164" s="12"/>
      <c r="G164" s="12"/>
    </row>
    <row r="165" spans="1:7" ht="30" customHeight="1" x14ac:dyDescent="0.3">
      <c r="A165" s="12"/>
      <c r="B165" s="12"/>
      <c r="C165" s="12"/>
      <c r="D165" s="12"/>
      <c r="E165" s="12"/>
      <c r="F165" s="12"/>
      <c r="G165" s="12"/>
    </row>
    <row r="166" spans="1:7" ht="30" customHeight="1" x14ac:dyDescent="0.3">
      <c r="A166" s="12"/>
      <c r="B166" s="12"/>
      <c r="C166" s="12"/>
      <c r="D166" s="12"/>
      <c r="E166" s="12"/>
      <c r="F166" s="12"/>
      <c r="G166" s="12"/>
    </row>
    <row r="167" spans="1:7" ht="30" customHeight="1" x14ac:dyDescent="0.3">
      <c r="A167" s="12"/>
      <c r="B167" s="12"/>
      <c r="C167" s="12"/>
      <c r="D167" s="12"/>
      <c r="E167" s="12"/>
      <c r="F167" s="12"/>
      <c r="G167" s="12"/>
    </row>
    <row r="168" spans="1:7" ht="30" customHeight="1" x14ac:dyDescent="0.3">
      <c r="A168" s="12"/>
      <c r="B168" s="12"/>
      <c r="C168" s="12"/>
      <c r="D168" s="12"/>
      <c r="E168" s="12"/>
      <c r="F168" s="12"/>
      <c r="G168" s="12"/>
    </row>
    <row r="169" spans="1:7" ht="30" customHeight="1" x14ac:dyDescent="0.3">
      <c r="A169" s="12"/>
      <c r="B169" s="12"/>
      <c r="C169" s="12"/>
      <c r="D169" s="12"/>
      <c r="E169" s="12"/>
      <c r="F169" s="12"/>
      <c r="G169" s="12"/>
    </row>
    <row r="170" spans="1:7" ht="30" customHeight="1" x14ac:dyDescent="0.3">
      <c r="A170" s="12"/>
      <c r="B170" s="12"/>
      <c r="C170" s="12"/>
      <c r="D170" s="12"/>
      <c r="E170" s="12"/>
      <c r="F170" s="12"/>
      <c r="G170" s="12"/>
    </row>
    <row r="171" spans="1:7" ht="30" customHeight="1" x14ac:dyDescent="0.3">
      <c r="A171" s="12"/>
      <c r="B171" s="12"/>
      <c r="C171" s="12"/>
      <c r="D171" s="12"/>
      <c r="E171" s="12"/>
      <c r="F171" s="12"/>
      <c r="G171" s="12"/>
    </row>
    <row r="172" spans="1:7" ht="30" customHeight="1" x14ac:dyDescent="0.3">
      <c r="A172" s="12"/>
      <c r="B172" s="12"/>
      <c r="C172" s="12"/>
      <c r="D172" s="12"/>
      <c r="E172" s="12"/>
      <c r="F172" s="12"/>
      <c r="G172" s="12"/>
    </row>
    <row r="173" spans="1:7" ht="30" customHeight="1" x14ac:dyDescent="0.3">
      <c r="A173" s="12"/>
      <c r="B173" s="12"/>
      <c r="C173" s="12"/>
      <c r="D173" s="12"/>
      <c r="E173" s="12"/>
      <c r="F173" s="12"/>
      <c r="G173" s="12"/>
    </row>
    <row r="174" spans="1:7" ht="30" customHeight="1" x14ac:dyDescent="0.3">
      <c r="A174" s="12"/>
      <c r="B174" s="12"/>
      <c r="C174" s="12"/>
      <c r="D174" s="12"/>
      <c r="E174" s="12"/>
      <c r="F174" s="12"/>
      <c r="G174" s="12"/>
    </row>
    <row r="175" spans="1:7" ht="30" customHeight="1" x14ac:dyDescent="0.3">
      <c r="A175" s="12"/>
      <c r="B175" s="12"/>
      <c r="C175" s="12"/>
      <c r="D175" s="12"/>
      <c r="E175" s="12"/>
      <c r="F175" s="12"/>
      <c r="G175" s="12"/>
    </row>
    <row r="176" spans="1:7" ht="30" customHeight="1" x14ac:dyDescent="0.3">
      <c r="A176" s="12"/>
      <c r="B176" s="12"/>
      <c r="C176" s="12"/>
      <c r="D176" s="12"/>
      <c r="E176" s="12"/>
      <c r="F176" s="12"/>
      <c r="G176" s="12"/>
    </row>
    <row r="177" spans="1:7" ht="30" customHeight="1" x14ac:dyDescent="0.3">
      <c r="A177" s="12"/>
      <c r="B177" s="12"/>
      <c r="C177" s="12"/>
      <c r="D177" s="12"/>
      <c r="E177" s="12"/>
      <c r="F177" s="12"/>
      <c r="G177" s="12"/>
    </row>
    <row r="178" spans="1:7" ht="30" customHeight="1" x14ac:dyDescent="0.3">
      <c r="A178" s="12"/>
      <c r="B178" s="12"/>
      <c r="C178" s="12"/>
      <c r="D178" s="12"/>
      <c r="E178" s="12"/>
      <c r="F178" s="12"/>
      <c r="G178" s="12"/>
    </row>
    <row r="179" spans="1:7" ht="30" customHeight="1" x14ac:dyDescent="0.3">
      <c r="A179" s="12"/>
      <c r="B179" s="12"/>
      <c r="C179" s="12"/>
      <c r="D179" s="12"/>
      <c r="E179" s="12"/>
      <c r="F179" s="12"/>
      <c r="G179" s="12"/>
    </row>
    <row r="180" spans="1:7" ht="30" customHeight="1" x14ac:dyDescent="0.3">
      <c r="A180" s="12"/>
      <c r="B180" s="12"/>
      <c r="C180" s="12"/>
      <c r="D180" s="12"/>
      <c r="E180" s="12"/>
      <c r="F180" s="12"/>
      <c r="G180" s="12"/>
    </row>
    <row r="181" spans="1:7" ht="30" customHeight="1" x14ac:dyDescent="0.3">
      <c r="A181" s="12"/>
      <c r="B181" s="12"/>
      <c r="C181" s="12"/>
      <c r="D181" s="12"/>
      <c r="E181" s="12"/>
      <c r="F181" s="12"/>
      <c r="G181" s="12"/>
    </row>
    <row r="182" spans="1:7" ht="30" customHeight="1" x14ac:dyDescent="0.3">
      <c r="A182" s="12"/>
      <c r="B182" s="12"/>
      <c r="C182" s="12"/>
      <c r="D182" s="12"/>
      <c r="E182" s="12"/>
      <c r="F182" s="12"/>
      <c r="G182" s="12"/>
    </row>
    <row r="183" spans="1:7" ht="30" customHeight="1" x14ac:dyDescent="0.3">
      <c r="A183" s="12"/>
      <c r="B183" s="12"/>
      <c r="C183" s="12"/>
      <c r="D183" s="12"/>
      <c r="E183" s="12"/>
      <c r="F183" s="12"/>
      <c r="G183" s="12"/>
    </row>
    <row r="184" spans="1:7" ht="30" customHeight="1" x14ac:dyDescent="0.3">
      <c r="A184" s="12"/>
      <c r="B184" s="12"/>
      <c r="C184" s="12"/>
      <c r="D184" s="12"/>
      <c r="E184" s="12"/>
      <c r="F184" s="12"/>
      <c r="G184" s="12"/>
    </row>
    <row r="185" spans="1:7" ht="30" customHeight="1" x14ac:dyDescent="0.3">
      <c r="A185" s="12"/>
      <c r="B185" s="12"/>
      <c r="C185" s="12"/>
      <c r="D185" s="12"/>
      <c r="E185" s="12"/>
      <c r="F185" s="12"/>
      <c r="G185" s="12"/>
    </row>
    <row r="186" spans="1:7" ht="30" customHeight="1" x14ac:dyDescent="0.3">
      <c r="A186" s="12"/>
      <c r="B186" s="12"/>
      <c r="C186" s="12"/>
      <c r="D186" s="12"/>
      <c r="E186" s="12"/>
      <c r="F186" s="12"/>
      <c r="G186" s="12"/>
    </row>
    <row r="187" spans="1:7" ht="30" customHeight="1" x14ac:dyDescent="0.3">
      <c r="A187" s="12"/>
      <c r="B187" s="12"/>
      <c r="C187" s="12"/>
      <c r="D187" s="12"/>
      <c r="E187" s="12"/>
      <c r="F187" s="12"/>
      <c r="G187" s="12"/>
    </row>
    <row r="188" spans="1:7" ht="30" customHeight="1" x14ac:dyDescent="0.3">
      <c r="A188" s="12"/>
      <c r="B188" s="12"/>
      <c r="C188" s="12"/>
      <c r="D188" s="12"/>
      <c r="E188" s="12"/>
      <c r="F188" s="12"/>
      <c r="G188" s="12"/>
    </row>
    <row r="189" spans="1:7" ht="30" customHeight="1" x14ac:dyDescent="0.3">
      <c r="A189" s="12"/>
      <c r="B189" s="12"/>
      <c r="C189" s="12"/>
      <c r="D189" s="12"/>
      <c r="E189" s="12"/>
      <c r="F189" s="12"/>
      <c r="G189" s="12"/>
    </row>
    <row r="190" spans="1:7" ht="30" customHeight="1" x14ac:dyDescent="0.3">
      <c r="A190" s="12"/>
      <c r="B190" s="12"/>
      <c r="C190" s="12"/>
      <c r="D190" s="12"/>
      <c r="E190" s="12"/>
      <c r="F190" s="12"/>
      <c r="G190" s="12"/>
    </row>
    <row r="191" spans="1:7" ht="30" customHeight="1" x14ac:dyDescent="0.3">
      <c r="A191" s="12"/>
      <c r="B191" s="12"/>
      <c r="C191" s="12"/>
      <c r="D191" s="12"/>
      <c r="E191" s="12"/>
      <c r="F191" s="12"/>
      <c r="G191" s="12"/>
    </row>
    <row r="192" spans="1:7" ht="30" customHeight="1" x14ac:dyDescent="0.3">
      <c r="A192" s="12"/>
      <c r="B192" s="12"/>
      <c r="C192" s="12"/>
      <c r="D192" s="12"/>
      <c r="E192" s="12"/>
      <c r="F192" s="12"/>
      <c r="G192" s="12"/>
    </row>
    <row r="193" spans="1:7" ht="30" customHeight="1" x14ac:dyDescent="0.3">
      <c r="A193" s="12"/>
      <c r="B193" s="12"/>
      <c r="C193" s="12"/>
      <c r="D193" s="12"/>
      <c r="E193" s="12"/>
      <c r="F193" s="12"/>
      <c r="G193" s="12"/>
    </row>
    <row r="194" spans="1:7" ht="30" customHeight="1" x14ac:dyDescent="0.3">
      <c r="A194" s="12"/>
      <c r="B194" s="12"/>
      <c r="C194" s="12"/>
      <c r="D194" s="12"/>
      <c r="E194" s="12"/>
      <c r="F194" s="12"/>
      <c r="G194" s="12"/>
    </row>
    <row r="195" spans="1:7" ht="30" customHeight="1" x14ac:dyDescent="0.3">
      <c r="A195" s="12"/>
      <c r="B195" s="12"/>
      <c r="C195" s="12"/>
      <c r="D195" s="12"/>
      <c r="E195" s="12"/>
      <c r="F195" s="12"/>
      <c r="G195" s="12"/>
    </row>
    <row r="196" spans="1:7" ht="30" customHeight="1" x14ac:dyDescent="0.3">
      <c r="A196" s="12"/>
      <c r="B196" s="12"/>
      <c r="C196" s="12"/>
      <c r="D196" s="12"/>
      <c r="E196" s="12"/>
      <c r="F196" s="12"/>
      <c r="G196" s="12"/>
    </row>
    <row r="197" spans="1:7" ht="30" customHeight="1" x14ac:dyDescent="0.3">
      <c r="A197" s="12"/>
      <c r="B197" s="12"/>
      <c r="C197" s="12"/>
      <c r="D197" s="12"/>
      <c r="E197" s="12"/>
      <c r="F197" s="12"/>
      <c r="G197" s="12"/>
    </row>
    <row r="198" spans="1:7" ht="30" customHeight="1" x14ac:dyDescent="0.3">
      <c r="A198" s="12"/>
      <c r="B198" s="12"/>
      <c r="C198" s="12"/>
      <c r="D198" s="12"/>
      <c r="E198" s="12"/>
      <c r="F198" s="12"/>
      <c r="G198" s="12"/>
    </row>
    <row r="199" spans="1:7" ht="30" customHeight="1" x14ac:dyDescent="0.3">
      <c r="A199" s="12"/>
      <c r="B199" s="12"/>
      <c r="C199" s="12"/>
      <c r="D199" s="12"/>
      <c r="E199" s="12"/>
      <c r="F199" s="12"/>
      <c r="G199" s="12"/>
    </row>
    <row r="200" spans="1:7" ht="30" customHeight="1" x14ac:dyDescent="0.3">
      <c r="A200" s="12"/>
      <c r="B200" s="12"/>
      <c r="C200" s="12"/>
      <c r="D200" s="12"/>
      <c r="E200" s="12"/>
      <c r="F200" s="12"/>
      <c r="G200" s="12"/>
    </row>
    <row r="201" spans="1:7" ht="30" customHeight="1" x14ac:dyDescent="0.3">
      <c r="A201" s="12"/>
      <c r="B201" s="12"/>
      <c r="C201" s="12"/>
      <c r="D201" s="12"/>
      <c r="E201" s="12"/>
      <c r="F201" s="12"/>
      <c r="G201" s="12"/>
    </row>
    <row r="202" spans="1:7" ht="30" customHeight="1" x14ac:dyDescent="0.3">
      <c r="A202" s="12"/>
      <c r="B202" s="12"/>
      <c r="C202" s="12"/>
      <c r="D202" s="12"/>
      <c r="E202" s="12"/>
      <c r="F202" s="12"/>
      <c r="G202" s="12"/>
    </row>
    <row r="203" spans="1:7" ht="30" customHeight="1" x14ac:dyDescent="0.3">
      <c r="A203" s="12"/>
      <c r="B203" s="12"/>
      <c r="C203" s="12"/>
      <c r="D203" s="12"/>
      <c r="E203" s="12"/>
      <c r="F203" s="12"/>
      <c r="G203" s="12"/>
    </row>
    <row r="204" spans="1:7" ht="30" customHeight="1" x14ac:dyDescent="0.3">
      <c r="A204" s="12"/>
      <c r="B204" s="12"/>
      <c r="C204" s="12"/>
      <c r="D204" s="12"/>
      <c r="E204" s="12"/>
      <c r="F204" s="12"/>
      <c r="G204" s="12"/>
    </row>
    <row r="205" spans="1:7" ht="30" customHeight="1" x14ac:dyDescent="0.3">
      <c r="A205" s="12"/>
      <c r="B205" s="12"/>
      <c r="C205" s="12"/>
      <c r="D205" s="12"/>
      <c r="E205" s="12"/>
      <c r="F205" s="12"/>
      <c r="G205" s="12"/>
    </row>
    <row r="206" spans="1:7" ht="30" customHeight="1" x14ac:dyDescent="0.3">
      <c r="A206" s="12"/>
      <c r="B206" s="12"/>
      <c r="C206" s="12"/>
      <c r="D206" s="12"/>
      <c r="E206" s="12"/>
      <c r="F206" s="12"/>
      <c r="G206" s="12"/>
    </row>
  </sheetData>
  <autoFilter ref="A6:G206" xr:uid="{00000000-0009-0000-0000-000007000000}"/>
  <mergeCells count="5">
    <mergeCell ref="A1:G1"/>
    <mergeCell ref="D5:F5"/>
    <mergeCell ref="A5:C5"/>
    <mergeCell ref="A3:G3"/>
    <mergeCell ref="A2:G2"/>
  </mergeCells>
  <dataValidations count="3">
    <dataValidation type="list" allowBlank="1" errorTitle="Valor no admitido" error="Selecciona un valor de la lista desplegable." sqref="A7:A206" xr:uid="{00000000-0002-0000-0700-000000000000}">
      <formula1>LST_ID_HU</formula1>
      <formula2>0</formula2>
    </dataValidation>
    <dataValidation type="list" allowBlank="1" errorTitle="Valor no admitido" error="Selecciona un valor de la lista desplegable." sqref="C7:C206" xr:uid="{00000000-0002-0000-0700-000001000000}">
      <formula1>LST_TIPO_ESCENARIO</formula1>
      <formula2>0</formula2>
    </dataValidation>
    <dataValidation type="list" allowBlank="1" errorTitle="Valor no admitido" error="Selecciona un valor de la lista desplegable." sqref="G7:G206" xr:uid="{00000000-0002-0000-0700-000002000000}">
      <formula1>LST_RESULTADO</formula1>
      <formula2>0</formula2>
    </dataValidation>
  </dataValidations>
  <pageMargins left="0.75" right="0.75" top="1" bottom="1" header="0.511811023622047" footer="0.5"/>
  <pageSetup fitToHeight="0" orientation="landscape" horizontalDpi="300" verticalDpi="300"/>
  <headerFooter>
    <oddFooter>&amp;L&amp;"Tahoma,Regular"&amp;7 Escenarios de aceptación en Gherkin&amp;C&amp;"Tahoma,Regular"&amp;7 Universidad Católica de Colombia · Facultad de Ingeniería · Vigilada Mineducación&amp;R&amp;"Tahoma,Regular"&amp;7 Página &amp;P de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D9"/>
  <sheetViews>
    <sheetView showGridLines="0" zoomScaleNormal="100" workbookViewId="0">
      <selection sqref="A1:D1"/>
    </sheetView>
  </sheetViews>
  <sheetFormatPr baseColWidth="10" defaultColWidth="8.6640625" defaultRowHeight="14.4" x14ac:dyDescent="0.3"/>
  <cols>
    <col min="1" max="1" width="3" customWidth="1"/>
    <col min="2" max="2" width="54" customWidth="1"/>
    <col min="3" max="3" width="40" customWidth="1"/>
    <col min="4" max="4" width="3" customWidth="1"/>
  </cols>
  <sheetData>
    <row r="1" spans="1:4" ht="25.5" customHeight="1" x14ac:dyDescent="0.3">
      <c r="A1" s="38" t="s">
        <v>1322</v>
      </c>
      <c r="B1" s="30"/>
      <c r="C1" s="30"/>
      <c r="D1" s="30"/>
    </row>
    <row r="2" spans="1:4" ht="15" customHeight="1" x14ac:dyDescent="0.3">
      <c r="A2" s="40" t="s">
        <v>1323</v>
      </c>
      <c r="B2" s="30"/>
      <c r="C2" s="30"/>
      <c r="D2" s="30"/>
    </row>
    <row r="3" spans="1:4" ht="15.75" customHeight="1" x14ac:dyDescent="0.3">
      <c r="A3" s="42" t="s">
        <v>1324</v>
      </c>
      <c r="B3" s="30"/>
      <c r="C3" s="30"/>
      <c r="D3" s="30"/>
    </row>
    <row r="4" spans="1:4" ht="19.5" customHeight="1" x14ac:dyDescent="0.3">
      <c r="B4" s="14" t="s">
        <v>1325</v>
      </c>
      <c r="C4" s="14" t="s">
        <v>1326</v>
      </c>
    </row>
    <row r="5" spans="1:4" ht="30" customHeight="1" x14ac:dyDescent="0.3">
      <c r="B5" s="21" t="s">
        <v>1327</v>
      </c>
      <c r="C5" s="21" t="s">
        <v>1328</v>
      </c>
    </row>
    <row r="6" spans="1:4" ht="30" customHeight="1" x14ac:dyDescent="0.3">
      <c r="B6" s="21" t="s">
        <v>1329</v>
      </c>
      <c r="C6" s="21" t="s">
        <v>1330</v>
      </c>
    </row>
    <row r="7" spans="1:4" ht="30" customHeight="1" x14ac:dyDescent="0.3">
      <c r="B7" s="21" t="s">
        <v>1331</v>
      </c>
      <c r="C7" s="21" t="s">
        <v>1332</v>
      </c>
    </row>
    <row r="8" spans="1:4" ht="30" customHeight="1" x14ac:dyDescent="0.3">
      <c r="B8" s="21" t="s">
        <v>1333</v>
      </c>
      <c r="C8" s="21" t="s">
        <v>1334</v>
      </c>
    </row>
    <row r="9" spans="1:4" ht="30" customHeight="1" x14ac:dyDescent="0.3">
      <c r="B9" s="21" t="s">
        <v>1335</v>
      </c>
      <c r="C9" s="21" t="s">
        <v>1336</v>
      </c>
    </row>
  </sheetData>
  <mergeCells count="3">
    <mergeCell ref="A1:D1"/>
    <mergeCell ref="A3:D3"/>
    <mergeCell ref="A2:D2"/>
  </mergeCells>
  <pageMargins left="0.75" right="0.75" top="1" bottom="1" header="0.511811023622047" footer="0.5"/>
  <pageSetup orientation="portrait" horizontalDpi="300" verticalDpi="300"/>
  <headerFooter>
    <oddFooter>&amp;L&amp;"Tahoma,Regular"&amp;7 Definición de terminado&amp;C&amp;"Tahoma,Regular"&amp;7 Universidad Católica de Colombia · Facultad de Ingeniería · Vigilada Mineducación&amp;R&amp;"Tahoma,Regular"&amp;7 Página &amp;P de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L46"/>
  <sheetViews>
    <sheetView showGridLines="0" zoomScaleNormal="100" workbookViewId="0">
      <selection sqref="A1:L1"/>
    </sheetView>
  </sheetViews>
  <sheetFormatPr baseColWidth="10" defaultColWidth="8.6640625" defaultRowHeight="14.4" x14ac:dyDescent="0.3"/>
  <cols>
    <col min="1" max="1" width="38" customWidth="1"/>
    <col min="2" max="2" width="28" customWidth="1"/>
    <col min="3" max="3" width="3" customWidth="1"/>
    <col min="4" max="4" width="20" customWidth="1"/>
    <col min="5" max="5" width="14" customWidth="1"/>
    <col min="6" max="6" width="16" customWidth="1"/>
    <col min="7" max="7" width="18" customWidth="1"/>
    <col min="8" max="8" width="14" customWidth="1"/>
    <col min="9" max="9" width="12" customWidth="1"/>
    <col min="10" max="10" width="20" customWidth="1"/>
    <col min="11" max="11" width="24" customWidth="1"/>
    <col min="12" max="12" width="20" customWidth="1"/>
  </cols>
  <sheetData>
    <row r="1" spans="1:12" ht="25.5" customHeight="1" x14ac:dyDescent="0.3">
      <c r="A1" s="38" t="s">
        <v>1337</v>
      </c>
      <c r="B1" s="30"/>
      <c r="C1" s="30"/>
      <c r="D1" s="30"/>
      <c r="E1" s="30"/>
      <c r="F1" s="30"/>
      <c r="G1" s="30"/>
      <c r="H1" s="30"/>
      <c r="I1" s="30"/>
      <c r="J1" s="30"/>
      <c r="K1" s="30"/>
      <c r="L1" s="30"/>
    </row>
    <row r="2" spans="1:12" ht="15" customHeight="1" x14ac:dyDescent="0.3">
      <c r="A2" s="40" t="s">
        <v>1338</v>
      </c>
      <c r="B2" s="30"/>
      <c r="C2" s="30"/>
      <c r="D2" s="30"/>
      <c r="E2" s="30"/>
      <c r="F2" s="30"/>
      <c r="G2" s="30"/>
      <c r="H2" s="30"/>
      <c r="I2" s="30"/>
      <c r="J2" s="30"/>
      <c r="K2" s="30"/>
      <c r="L2" s="30"/>
    </row>
    <row r="3" spans="1:12" ht="15.75" customHeight="1" x14ac:dyDescent="0.3">
      <c r="A3" s="42" t="s">
        <v>1339</v>
      </c>
      <c r="B3" s="30"/>
      <c r="C3" s="30"/>
      <c r="D3" s="30"/>
      <c r="E3" s="30"/>
      <c r="F3" s="30"/>
      <c r="G3" s="30"/>
      <c r="H3" s="30"/>
      <c r="I3" s="30"/>
      <c r="J3" s="30"/>
      <c r="K3" s="30"/>
      <c r="L3" s="30"/>
    </row>
    <row r="4" spans="1:12" ht="6" customHeight="1" x14ac:dyDescent="0.3"/>
    <row r="6" spans="1:12" ht="30" customHeight="1" x14ac:dyDescent="0.3">
      <c r="A6" s="14" t="s">
        <v>803</v>
      </c>
      <c r="B6" s="14" t="s">
        <v>802</v>
      </c>
      <c r="D6" s="14" t="s">
        <v>294</v>
      </c>
      <c r="E6" s="14" t="s">
        <v>295</v>
      </c>
      <c r="F6" s="14" t="s">
        <v>1340</v>
      </c>
      <c r="G6" s="14" t="s">
        <v>808</v>
      </c>
      <c r="H6" s="14" t="s">
        <v>1341</v>
      </c>
      <c r="I6" s="14" t="s">
        <v>1342</v>
      </c>
      <c r="J6" s="14" t="s">
        <v>8</v>
      </c>
      <c r="K6" s="14" t="s">
        <v>12</v>
      </c>
      <c r="L6" s="14" t="s">
        <v>1343</v>
      </c>
    </row>
    <row r="7" spans="1:12" x14ac:dyDescent="0.3">
      <c r="A7" s="5" t="s">
        <v>1344</v>
      </c>
      <c r="B7" s="5" t="s">
        <v>1165</v>
      </c>
      <c r="D7" s="5" t="s">
        <v>308</v>
      </c>
      <c r="E7" s="5" t="s">
        <v>309</v>
      </c>
      <c r="F7" s="5" t="s">
        <v>509</v>
      </c>
      <c r="G7" s="5" t="s">
        <v>819</v>
      </c>
      <c r="H7" s="5" t="s">
        <v>1217</v>
      </c>
      <c r="I7" s="5">
        <v>1</v>
      </c>
      <c r="J7" s="5" t="s">
        <v>15</v>
      </c>
      <c r="K7" s="5" t="s">
        <v>18</v>
      </c>
      <c r="L7" s="5" t="s">
        <v>1216</v>
      </c>
    </row>
    <row r="8" spans="1:12" x14ac:dyDescent="0.3">
      <c r="A8" s="5" t="s">
        <v>925</v>
      </c>
      <c r="B8" s="5" t="s">
        <v>1165</v>
      </c>
      <c r="D8" s="5" t="s">
        <v>347</v>
      </c>
      <c r="E8" s="5" t="s">
        <v>348</v>
      </c>
      <c r="F8" s="5" t="s">
        <v>310</v>
      </c>
      <c r="G8" s="5" t="s">
        <v>1012</v>
      </c>
      <c r="H8" s="5" t="s">
        <v>1218</v>
      </c>
      <c r="I8" s="5">
        <v>2</v>
      </c>
      <c r="J8" s="5" t="s">
        <v>32</v>
      </c>
      <c r="K8" s="5" t="s">
        <v>310</v>
      </c>
      <c r="L8" s="5" t="s">
        <v>1345</v>
      </c>
    </row>
    <row r="9" spans="1:12" x14ac:dyDescent="0.3">
      <c r="A9" s="5" t="s">
        <v>1346</v>
      </c>
      <c r="B9" s="5" t="s">
        <v>1165</v>
      </c>
      <c r="D9" s="5" t="s">
        <v>957</v>
      </c>
      <c r="E9" s="5" t="s">
        <v>958</v>
      </c>
      <c r="F9" s="5" t="s">
        <v>1347</v>
      </c>
      <c r="G9" s="5" t="s">
        <v>949</v>
      </c>
      <c r="I9" s="5">
        <v>3</v>
      </c>
      <c r="J9" s="5" t="s">
        <v>20</v>
      </c>
      <c r="K9" s="5" t="s">
        <v>1348</v>
      </c>
      <c r="L9" s="5" t="s">
        <v>1349</v>
      </c>
    </row>
    <row r="10" spans="1:12" x14ac:dyDescent="0.3">
      <c r="A10" s="5" t="s">
        <v>886</v>
      </c>
      <c r="B10" s="5" t="s">
        <v>1159</v>
      </c>
      <c r="D10" s="5" t="s">
        <v>1350</v>
      </c>
      <c r="F10" s="5" t="s">
        <v>1351</v>
      </c>
      <c r="G10" s="5" t="s">
        <v>830</v>
      </c>
      <c r="I10" s="5">
        <v>5</v>
      </c>
      <c r="L10" s="5" t="s">
        <v>1352</v>
      </c>
    </row>
    <row r="11" spans="1:12" x14ac:dyDescent="0.3">
      <c r="A11" s="5" t="s">
        <v>1353</v>
      </c>
      <c r="B11" s="5" t="s">
        <v>1159</v>
      </c>
      <c r="F11" s="5" t="s">
        <v>1354</v>
      </c>
      <c r="I11" s="5">
        <v>8</v>
      </c>
    </row>
    <row r="12" spans="1:12" x14ac:dyDescent="0.3">
      <c r="A12" s="5" t="s">
        <v>1029</v>
      </c>
      <c r="B12" s="5" t="s">
        <v>1159</v>
      </c>
      <c r="I12" s="5">
        <v>13</v>
      </c>
    </row>
    <row r="13" spans="1:12" x14ac:dyDescent="0.3">
      <c r="A13" s="5" t="s">
        <v>1355</v>
      </c>
      <c r="B13" s="5" t="s">
        <v>1179</v>
      </c>
      <c r="I13" s="5">
        <v>21</v>
      </c>
    </row>
    <row r="14" spans="1:12" x14ac:dyDescent="0.3">
      <c r="A14" s="5" t="s">
        <v>1019</v>
      </c>
      <c r="B14" s="5" t="s">
        <v>1179</v>
      </c>
    </row>
    <row r="15" spans="1:12" x14ac:dyDescent="0.3">
      <c r="A15" s="5" t="s">
        <v>956</v>
      </c>
      <c r="B15" s="5" t="s">
        <v>1168</v>
      </c>
    </row>
    <row r="16" spans="1:12" x14ac:dyDescent="0.3">
      <c r="A16" s="5" t="s">
        <v>1356</v>
      </c>
      <c r="B16" s="5" t="s">
        <v>1168</v>
      </c>
    </row>
    <row r="17" spans="1:2" x14ac:dyDescent="0.3">
      <c r="A17" s="5" t="s">
        <v>945</v>
      </c>
      <c r="B17" s="5" t="s">
        <v>1168</v>
      </c>
    </row>
    <row r="18" spans="1:2" x14ac:dyDescent="0.3">
      <c r="A18" s="5" t="s">
        <v>974</v>
      </c>
      <c r="B18" s="5" t="s">
        <v>1168</v>
      </c>
    </row>
    <row r="19" spans="1:2" x14ac:dyDescent="0.3">
      <c r="A19" s="5" t="s">
        <v>1357</v>
      </c>
      <c r="B19" s="5" t="s">
        <v>1168</v>
      </c>
    </row>
    <row r="20" spans="1:2" x14ac:dyDescent="0.3">
      <c r="A20" s="5" t="s">
        <v>1358</v>
      </c>
      <c r="B20" s="5" t="s">
        <v>1168</v>
      </c>
    </row>
    <row r="21" spans="1:2" x14ac:dyDescent="0.3">
      <c r="A21" s="5" t="s">
        <v>1359</v>
      </c>
      <c r="B21" s="5" t="s">
        <v>1168</v>
      </c>
    </row>
    <row r="22" spans="1:2" x14ac:dyDescent="0.3">
      <c r="A22" s="5" t="s">
        <v>1360</v>
      </c>
      <c r="B22" s="5" t="s">
        <v>1168</v>
      </c>
    </row>
    <row r="23" spans="1:2" x14ac:dyDescent="0.3">
      <c r="A23" s="5" t="s">
        <v>1361</v>
      </c>
      <c r="B23" s="5" t="s">
        <v>1163</v>
      </c>
    </row>
    <row r="24" spans="1:2" x14ac:dyDescent="0.3">
      <c r="A24" s="5" t="s">
        <v>915</v>
      </c>
      <c r="B24" s="5" t="s">
        <v>1163</v>
      </c>
    </row>
    <row r="25" spans="1:2" x14ac:dyDescent="0.3">
      <c r="A25" s="5" t="s">
        <v>1362</v>
      </c>
      <c r="B25" s="5" t="s">
        <v>1163</v>
      </c>
    </row>
    <row r="26" spans="1:2" x14ac:dyDescent="0.3">
      <c r="A26" s="5" t="s">
        <v>1363</v>
      </c>
      <c r="B26" s="5" t="s">
        <v>1163</v>
      </c>
    </row>
    <row r="27" spans="1:2" x14ac:dyDescent="0.3">
      <c r="A27" s="5" t="s">
        <v>814</v>
      </c>
      <c r="B27" s="5" t="s">
        <v>1150</v>
      </c>
    </row>
    <row r="28" spans="1:2" x14ac:dyDescent="0.3">
      <c r="A28" s="5" t="s">
        <v>853</v>
      </c>
      <c r="B28" s="5" t="s">
        <v>1150</v>
      </c>
    </row>
    <row r="29" spans="1:2" x14ac:dyDescent="0.3">
      <c r="A29" s="5" t="s">
        <v>1057</v>
      </c>
      <c r="B29" s="5" t="s">
        <v>1150</v>
      </c>
    </row>
    <row r="30" spans="1:2" x14ac:dyDescent="0.3">
      <c r="A30" s="5" t="s">
        <v>862</v>
      </c>
      <c r="B30" s="5" t="s">
        <v>1150</v>
      </c>
    </row>
    <row r="31" spans="1:2" x14ac:dyDescent="0.3">
      <c r="A31" s="5" t="s">
        <v>826</v>
      </c>
      <c r="B31" s="5" t="s">
        <v>1150</v>
      </c>
    </row>
    <row r="32" spans="1:2" x14ac:dyDescent="0.3">
      <c r="A32" s="5" t="s">
        <v>1364</v>
      </c>
      <c r="B32" s="5" t="s">
        <v>1150</v>
      </c>
    </row>
    <row r="33" spans="1:2" x14ac:dyDescent="0.3">
      <c r="A33" s="5" t="s">
        <v>984</v>
      </c>
      <c r="B33" s="5" t="s">
        <v>1173</v>
      </c>
    </row>
    <row r="34" spans="1:2" x14ac:dyDescent="0.3">
      <c r="A34" s="5" t="s">
        <v>1365</v>
      </c>
      <c r="B34" s="5" t="s">
        <v>1173</v>
      </c>
    </row>
    <row r="35" spans="1:2" x14ac:dyDescent="0.3">
      <c r="A35" s="5" t="s">
        <v>1366</v>
      </c>
      <c r="B35" s="5" t="s">
        <v>1173</v>
      </c>
    </row>
    <row r="36" spans="1:2" x14ac:dyDescent="0.3">
      <c r="A36" s="5" t="s">
        <v>1008</v>
      </c>
      <c r="B36" s="5" t="s">
        <v>1173</v>
      </c>
    </row>
    <row r="37" spans="1:2" x14ac:dyDescent="0.3">
      <c r="A37" s="5" t="s">
        <v>1073</v>
      </c>
      <c r="B37" s="5" t="s">
        <v>1173</v>
      </c>
    </row>
    <row r="38" spans="1:2" x14ac:dyDescent="0.3">
      <c r="A38" s="5" t="s">
        <v>1039</v>
      </c>
      <c r="B38" s="5" t="s">
        <v>1176</v>
      </c>
    </row>
    <row r="39" spans="1:2" x14ac:dyDescent="0.3">
      <c r="A39" s="5" t="s">
        <v>1367</v>
      </c>
      <c r="B39" s="5" t="s">
        <v>1176</v>
      </c>
    </row>
    <row r="40" spans="1:2" x14ac:dyDescent="0.3">
      <c r="A40" s="5" t="s">
        <v>1000</v>
      </c>
      <c r="B40" s="5" t="s">
        <v>1176</v>
      </c>
    </row>
    <row r="41" spans="1:2" x14ac:dyDescent="0.3">
      <c r="A41" s="5" t="s">
        <v>1368</v>
      </c>
      <c r="B41" s="5" t="s">
        <v>1176</v>
      </c>
    </row>
    <row r="42" spans="1:2" x14ac:dyDescent="0.3">
      <c r="A42" s="5" t="s">
        <v>1369</v>
      </c>
      <c r="B42" s="5" t="s">
        <v>1370</v>
      </c>
    </row>
    <row r="43" spans="1:2" x14ac:dyDescent="0.3">
      <c r="A43" s="5" t="s">
        <v>1371</v>
      </c>
      <c r="B43" s="5" t="s">
        <v>1370</v>
      </c>
    </row>
    <row r="44" spans="1:2" x14ac:dyDescent="0.3">
      <c r="A44" s="5" t="s">
        <v>1372</v>
      </c>
      <c r="B44" s="5" t="s">
        <v>1370</v>
      </c>
    </row>
    <row r="45" spans="1:2" x14ac:dyDescent="0.3">
      <c r="A45" s="5" t="s">
        <v>1373</v>
      </c>
      <c r="B45" s="5" t="s">
        <v>1370</v>
      </c>
    </row>
    <row r="46" spans="1:2" x14ac:dyDescent="0.3">
      <c r="A46" s="5" t="s">
        <v>1374</v>
      </c>
      <c r="B46" s="5" t="s">
        <v>1370</v>
      </c>
    </row>
  </sheetData>
  <mergeCells count="3">
    <mergeCell ref="A3:L3"/>
    <mergeCell ref="A2:L2"/>
    <mergeCell ref="A1:L1"/>
  </mergeCells>
  <pageMargins left="0.75" right="0.75" top="1" bottom="1" header="0.511811023622047" footer="0.5"/>
  <pageSetup fitToHeight="0" orientation="landscape" horizontalDpi="300" verticalDpi="300"/>
  <headerFooter>
    <oddFooter>&amp;L&amp;"Tahoma,Regular"&amp;7 Catálogos de valores&amp;C&amp;"Tahoma,Regular"&amp;7 Universidad Católica de Colombia · Facultad de Ingeniería · Vigilada Mineducación&amp;R&amp;"Tahoma,Regular"&amp;7 Página &amp;P de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6"/>
  <sheetViews>
    <sheetView workbookViewId="0"/>
  </sheetViews>
  <sheetFormatPr baseColWidth="10" defaultColWidth="9.109375" defaultRowHeight="14.4" x14ac:dyDescent="0.3"/>
  <cols>
    <col min="1" max="1" width="8" customWidth="1"/>
    <col min="2" max="2" width="65" customWidth="1"/>
    <col min="3" max="3" width="45" customWidth="1"/>
  </cols>
  <sheetData>
    <row r="1" spans="1:4" ht="17.399999999999999" x14ac:dyDescent="0.35">
      <c r="A1" s="22" t="s">
        <v>1375</v>
      </c>
    </row>
    <row r="2" spans="1:4" ht="90" customHeight="1" x14ac:dyDescent="0.3">
      <c r="A2" s="29" t="s">
        <v>1376</v>
      </c>
      <c r="B2" s="30"/>
      <c r="C2" s="30"/>
      <c r="D2" s="30"/>
    </row>
    <row r="4" spans="1:4" x14ac:dyDescent="0.3">
      <c r="A4" s="24" t="s">
        <v>1377</v>
      </c>
      <c r="B4" s="24" t="s">
        <v>1378</v>
      </c>
      <c r="C4" s="24" t="s">
        <v>1379</v>
      </c>
    </row>
    <row r="5" spans="1:4" ht="69.900000000000006" customHeight="1" x14ac:dyDescent="0.3">
      <c r="A5" t="s">
        <v>1380</v>
      </c>
      <c r="B5" s="23" t="s">
        <v>1381</v>
      </c>
      <c r="C5" s="23" t="s">
        <v>1382</v>
      </c>
    </row>
    <row r="6" spans="1:4" ht="69.900000000000006" customHeight="1" x14ac:dyDescent="0.3">
      <c r="A6" t="s">
        <v>1383</v>
      </c>
      <c r="B6" s="23" t="s">
        <v>1384</v>
      </c>
      <c r="C6" s="23" t="s">
        <v>1385</v>
      </c>
    </row>
  </sheetData>
  <mergeCells count="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21</vt:i4>
      </vt:variant>
    </vt:vector>
  </HeadingPairs>
  <TitlesOfParts>
    <vt:vector size="32" baseType="lpstr">
      <vt:lpstr>Portada</vt:lpstr>
      <vt:lpstr>Instrucciones</vt:lpstr>
      <vt:lpstr>RF</vt:lpstr>
      <vt:lpstr>RNF</vt:lpstr>
      <vt:lpstr>Ficha_RF</vt:lpstr>
      <vt:lpstr>Ficha_RNF</vt:lpstr>
      <vt:lpstr>Historias_Usuario</vt:lpstr>
      <vt:lpstr>Criterios_Gherkin</vt:lpstr>
      <vt:lpstr>Definición_Terminado</vt:lpstr>
      <vt:lpstr>Listas</vt:lpstr>
      <vt:lpstr>Referencias_Adicionales</vt:lpstr>
      <vt:lpstr>Definición_Terminado!Área_de_impresión</vt:lpstr>
      <vt:lpstr>Ficha_RF!Área_de_impresión</vt:lpstr>
      <vt:lpstr>Ficha_RNF!Área_de_impresión</vt:lpstr>
      <vt:lpstr>Portada!Área_de_impresión</vt:lpstr>
      <vt:lpstr>LST_CONFIRMACION</vt:lpstr>
      <vt:lpstr>LST_ESTADO_HU</vt:lpstr>
      <vt:lpstr>LST_ESTADO_REQ</vt:lpstr>
      <vt:lpstr>LST_ID_HU</vt:lpstr>
      <vt:lpstr>LST_ID_RF</vt:lpstr>
      <vt:lpstr>LST_ID_RNF</vt:lpstr>
      <vt:lpstr>LST_IMPORTANCIA</vt:lpstr>
      <vt:lpstr>LST_MOSCOW</vt:lpstr>
      <vt:lpstr>LST_PUNTOS</vt:lpstr>
      <vt:lpstr>LST_RESULTADO</vt:lpstr>
      <vt:lpstr>LST_SUBCARACTERISTICA</vt:lpstr>
      <vt:lpstr>LST_TIPO_ESCENARIO</vt:lpstr>
      <vt:lpstr>LST_VERIFICACION</vt:lpstr>
      <vt:lpstr>Criterios_Gherkin!Títulos_a_imprimir</vt:lpstr>
      <vt:lpstr>Historias_Usuario!Títulos_a_imprimir</vt:lpstr>
      <vt:lpstr>RF!Títulos_a_imprimir</vt:lpstr>
      <vt:lpstr>RNF!Títulos_a_imprimir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Plantilla de requisitos y de historias de usuario</dc:title>
  <dc:creator>Universidad Católica de Colombia</dc:creator>
  <cp:lastModifiedBy>Sofia Diaz</cp:lastModifiedBy>
  <cp:revision>0</cp:revision>
  <dcterms:created xsi:type="dcterms:W3CDTF">2026-08-24T11:46:54Z</dcterms:created>
  <dcterms:modified xsi:type="dcterms:W3CDTF">2026-10-02T20:27:24Z</dcterms:modified>
</cp:coreProperties>
</file>