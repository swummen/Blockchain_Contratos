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mc:AlternateContent xmlns:mc="http://schemas.openxmlformats.org/markup-compatibility/2006">
    <mc:Choice Requires="x15">
      <x15ac:absPath xmlns:x15ac="http://schemas.microsoft.com/office/spreadsheetml/2010/11/ac" url="C:\Users\sofia\Downloads\Archivos tesis\objetivo 2\"/>
    </mc:Choice>
  </mc:AlternateContent>
  <xr:revisionPtr revIDLastSave="0" documentId="8_{00B3C1F9-4F64-4335-A252-0ECAE5F1FAA5}" xr6:coauthVersionLast="47" xr6:coauthVersionMax="47" xr10:uidLastSave="{00000000-0000-0000-0000-000000000000}"/>
  <bookViews>
    <workbookView xWindow="-108" yWindow="-108" windowWidth="30936" windowHeight="16776" firstSheet="5" activeTab="5" xr2:uid="{1FF12D87-842A-42E8-8D9A-27FA867391C0}"/>
  </bookViews>
  <sheets>
    <sheet name="1__Matriz_ASR" sheetId="2" r:id="rId1"/>
    <sheet name="3__Utility_Tree" sheetId="5" r:id="rId2"/>
    <sheet name="Medición_Características" sheetId="7" r:id="rId3"/>
    <sheet name="7__Escalas_VN_e_IA" sheetId="8" r:id="rId4"/>
    <sheet name="10__Catálogos_y_fuentes" sheetId="11" r:id="rId5"/>
    <sheet name="11__Leyenda" sheetId="12" r:id="rId6"/>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 i="5" l="1"/>
  <c r="G27" i="5"/>
  <c r="F27" i="5"/>
  <c r="E27" i="5"/>
  <c r="D27" i="5"/>
  <c r="C27" i="5"/>
  <c r="I26" i="5"/>
  <c r="G26" i="5"/>
  <c r="F26" i="5"/>
  <c r="E26" i="5"/>
  <c r="D26" i="5"/>
  <c r="C26" i="5"/>
  <c r="I25" i="5"/>
  <c r="G25" i="5"/>
  <c r="F25" i="5"/>
  <c r="E25" i="5"/>
  <c r="D25" i="5"/>
  <c r="C25" i="5"/>
  <c r="I24" i="5"/>
  <c r="G24" i="5"/>
  <c r="F24" i="5"/>
  <c r="E24" i="5"/>
  <c r="D24" i="5"/>
  <c r="C24" i="5"/>
  <c r="I23" i="5"/>
  <c r="G23" i="5"/>
  <c r="F23" i="5"/>
  <c r="E23" i="5"/>
  <c r="D23" i="5"/>
  <c r="C23" i="5"/>
  <c r="I22" i="5"/>
  <c r="G22" i="5"/>
  <c r="F22" i="5"/>
  <c r="E22" i="5"/>
  <c r="D22" i="5"/>
  <c r="C22" i="5"/>
  <c r="I21" i="5"/>
  <c r="G21" i="5"/>
  <c r="F21" i="5"/>
  <c r="E21" i="5"/>
  <c r="D21" i="5"/>
  <c r="C21" i="5"/>
  <c r="I20" i="5"/>
  <c r="G20" i="5"/>
  <c r="F20" i="5"/>
  <c r="E20" i="5"/>
  <c r="D20" i="5"/>
  <c r="C20" i="5"/>
  <c r="I19" i="5"/>
  <c r="G19" i="5"/>
  <c r="F19" i="5"/>
  <c r="H19" i="5" s="1"/>
  <c r="E19" i="5"/>
  <c r="D19" i="5"/>
  <c r="C19" i="5"/>
  <c r="I18" i="5"/>
  <c r="G18" i="5"/>
  <c r="F18" i="5"/>
  <c r="H18" i="5" s="1"/>
  <c r="E18" i="5"/>
  <c r="D18" i="5"/>
  <c r="C18" i="5"/>
  <c r="I17" i="5"/>
  <c r="G17" i="5"/>
  <c r="F17" i="5"/>
  <c r="E17" i="5"/>
  <c r="D17" i="5"/>
  <c r="C17" i="5"/>
  <c r="I16" i="5"/>
  <c r="G16" i="5"/>
  <c r="F16" i="5"/>
  <c r="H16" i="5" s="1"/>
  <c r="E16" i="5"/>
  <c r="D16" i="5"/>
  <c r="C16" i="5"/>
  <c r="I15" i="5"/>
  <c r="G15" i="5"/>
  <c r="F15" i="5"/>
  <c r="H15" i="5" s="1"/>
  <c r="E15" i="5"/>
  <c r="D15" i="5"/>
  <c r="C15" i="5"/>
  <c r="I14" i="5"/>
  <c r="G14" i="5"/>
  <c r="F14" i="5"/>
  <c r="H14" i="5" s="1"/>
  <c r="E14" i="5"/>
  <c r="D14" i="5"/>
  <c r="C14" i="5"/>
  <c r="I13" i="5"/>
  <c r="G13" i="5"/>
  <c r="F13" i="5"/>
  <c r="H13" i="5" s="1"/>
  <c r="E13" i="5"/>
  <c r="D13" i="5"/>
  <c r="C13" i="5"/>
  <c r="I12" i="5"/>
  <c r="G12" i="5"/>
  <c r="F12" i="5"/>
  <c r="H12" i="5" s="1"/>
  <c r="E12" i="5"/>
  <c r="D12" i="5"/>
  <c r="C12" i="5"/>
  <c r="I11" i="5"/>
  <c r="G11" i="5"/>
  <c r="F11" i="5"/>
  <c r="E11" i="5"/>
  <c r="D11" i="5"/>
  <c r="C11" i="5"/>
  <c r="I10" i="5"/>
  <c r="G10" i="5"/>
  <c r="F10" i="5"/>
  <c r="H10" i="5" s="1"/>
  <c r="E10" i="5"/>
  <c r="D10" i="5"/>
  <c r="C10" i="5"/>
  <c r="H27" i="5"/>
  <c r="H26" i="5"/>
  <c r="H25" i="5"/>
  <c r="H24" i="5"/>
  <c r="H23" i="5"/>
  <c r="H22" i="5"/>
  <c r="H21" i="5"/>
  <c r="H20" i="5"/>
  <c r="X34" i="2"/>
  <c r="W34" i="2"/>
  <c r="X33" i="2"/>
  <c r="W33" i="2"/>
  <c r="X32" i="2"/>
  <c r="W32" i="2"/>
  <c r="X31" i="2"/>
  <c r="W31" i="2"/>
  <c r="X30" i="2"/>
  <c r="W30" i="2"/>
  <c r="X29" i="2"/>
  <c r="W29" i="2"/>
  <c r="X28" i="2"/>
  <c r="W28" i="2"/>
  <c r="X27" i="2"/>
  <c r="W27" i="2"/>
  <c r="X26" i="2"/>
  <c r="W26" i="2"/>
  <c r="X25" i="2"/>
  <c r="W25" i="2"/>
  <c r="X24" i="2"/>
  <c r="W24" i="2"/>
  <c r="X23" i="2"/>
  <c r="W23" i="2"/>
  <c r="X22" i="2"/>
  <c r="W22" i="2"/>
  <c r="X21" i="2"/>
  <c r="W21" i="2"/>
  <c r="X20" i="2"/>
  <c r="W20" i="2"/>
  <c r="X19" i="2"/>
  <c r="W19" i="2"/>
  <c r="X18" i="2"/>
  <c r="W18" i="2"/>
  <c r="X17" i="2"/>
  <c r="W17" i="2"/>
  <c r="X16" i="2"/>
  <c r="W16" i="2"/>
  <c r="X15" i="2"/>
  <c r="W15" i="2"/>
  <c r="X14" i="2"/>
  <c r="W14" i="2"/>
  <c r="X13" i="2"/>
  <c r="W13" i="2"/>
  <c r="X12" i="2"/>
  <c r="W12" i="2"/>
  <c r="X11" i="2"/>
  <c r="W11" i="2"/>
  <c r="X10" i="2"/>
  <c r="W10" i="2"/>
  <c r="X9" i="2"/>
  <c r="W9" i="2"/>
  <c r="X8" i="2"/>
  <c r="W8" i="2"/>
  <c r="X7" i="2"/>
  <c r="W7" i="2"/>
  <c r="H17" i="5" l="1"/>
  <c r="H11" i="5"/>
</calcChain>
</file>

<file path=xl/sharedStrings.xml><?xml version="1.0" encoding="utf-8"?>
<sst xmlns="http://schemas.openxmlformats.org/spreadsheetml/2006/main" count="1148" uniqueCount="763">
  <si>
    <t>Matriz ASR: identificación y especificación</t>
  </si>
  <si>
    <t>Trazabilidad</t>
  </si>
  <si>
    <t>Requisito</t>
  </si>
  <si>
    <t>Escenario de calidad (6 partes)</t>
  </si>
  <si>
    <t>Impacto en la arquitectura</t>
  </si>
  <si>
    <t>Priorización (solo 2 ejes)</t>
  </si>
  <si>
    <t>Dictamen y verificación</t>
  </si>
  <si>
    <t>Enrutamiento automático</t>
  </si>
  <si>
    <t>ID</t>
  </si>
  <si>
    <t>Nombre corto del escenario</t>
  </si>
  <si>
    <t>Stakeholder</t>
  </si>
  <si>
    <t>Evidencia o fuente</t>
  </si>
  <si>
    <t>Tipo de requisito</t>
  </si>
  <si>
    <t>Requisito base (enunciado verificable)</t>
  </si>
  <si>
    <t>Característica de calidad (ISO/IEC 25010)</t>
  </si>
  <si>
    <t>Subcaracterística o concern</t>
  </si>
  <si>
    <t>1. Fuente</t>
  </si>
  <si>
    <t>2. Estímulo</t>
  </si>
  <si>
    <t>3. Entorno</t>
  </si>
  <si>
    <t>4. Artefacto</t>
  </si>
  <si>
    <t>5. Respuesta</t>
  </si>
  <si>
    <t>6. Medida de la respuesta</t>
  </si>
  <si>
    <t>Elemento arquitectónico afectado</t>
  </si>
  <si>
    <t>Decisión o cambio que obliga</t>
  </si>
  <si>
    <t>Valor de negocio (VN)</t>
  </si>
  <si>
    <t>Impacto y dificultad arquitectónica (IA)</t>
  </si>
  <si>
    <t>Dictamen ASR</t>
  </si>
  <si>
    <t>Justificación del dictamen</t>
  </si>
  <si>
    <t>Método de verificación</t>
  </si>
  <si>
    <t>¿A dónde va este ASR?</t>
  </si>
  <si>
    <t>Campos diligenciados</t>
  </si>
  <si>
    <t>ASR-01</t>
  </si>
  <si>
    <t>Autenticación con segundo factor por correo</t>
  </si>
  <si>
    <t>Administrador, Empleado, Verificador</t>
  </si>
  <si>
    <t>Documento requerimientos funcionales y no funcionales</t>
  </si>
  <si>
    <t>Funcional</t>
  </si>
  <si>
    <t>El sistema debe autenticar al usuario mediante credenciales corporativas y un token de un solo uso enviado al correo, con vigencia de 5 minutos y máximo un reenvío cada 60 segundos.</t>
  </si>
  <si>
    <t>Seguridad</t>
  </si>
  <si>
    <t>Autenticidad</t>
  </si>
  <si>
    <t>Usuario registrado (cualquier rol)</t>
  </si>
  <si>
    <t>Ingresa correo y contraseña y solicita el token</t>
  </si>
  <si>
    <t>Operación normal, servidor de correo disponible</t>
  </si>
  <si>
    <t>Servicio de autenticación (backend)</t>
  </si>
  <si>
    <t>Envía el token al correo registrado, valida credenciales y token antes de otorgar acceso</t>
  </si>
  <si>
    <t>El token expira a los 5 min en el 100% de los casos; se permite máximo 1 reenvío cada 60 s; validación del token p95 ≤ 2 s sobre 50 intentos</t>
  </si>
  <si>
    <t>Componente</t>
  </si>
  <si>
    <t>Definir el proveedor de correo, el formato y vigencia del token, y el almacenamiento temporal del OTP.</t>
  </si>
  <si>
    <t>Alta</t>
  </si>
  <si>
    <t>Sí</t>
  </si>
  <si>
    <t>Es la puerta de entrada a toda la plataforma; sin 2FA no se cumple el modelo de autenticación segura exigido por RNF-002 y define contratos entre el backend y el servicio de correo.</t>
  </si>
  <si>
    <t>Prueba funcional del flujo completo con 50 intentos y medición del tiempo de expiración y validación del token.</t>
  </si>
  <si>
    <t>RF-002; RF-003; RF-004; RNF-002</t>
  </si>
  <si>
    <t>ASR-02</t>
  </si>
  <si>
    <t>Protección de contraseñas con hashing y salt</t>
  </si>
  <si>
    <t>El sistema debe almacenar las contraseñas usando un algoritmo de hashing seguro con salt y no debe almacenarlas en texto plano.</t>
  </si>
  <si>
    <t>Confidencialidad e integridad</t>
  </si>
  <si>
    <t>Usuario que registra o cambia su contraseña</t>
  </si>
  <si>
    <t>Envía su contraseña a través del formulario de registro o de cambio</t>
  </si>
  <si>
    <t>Operación normal, cualquier volumen de usuarios</t>
  </si>
  <si>
    <t>Base de datos de usuarios / servicio de autenticación</t>
  </si>
  <si>
    <t>Genera el hash con salt antes de persistir la contraseña</t>
  </si>
  <si>
    <t>100% de las contraseñas almacenadas quedan como hash con salt, verificado por inspección directa sobre 20 cuentas de prueba; 0 ocurrencias de texto plano</t>
  </si>
  <si>
    <t>Modelo o almacenamiento de datos</t>
  </si>
  <si>
    <t>Elegir el algoritmo de hashing (bcrypt o similar), su factor de costo y el manejo del salt.</t>
  </si>
  <si>
    <t>Cambiarlo luego exige migración de datos y rotación forzada de credenciales; afecta directamente la persistencia y el servicio de autenticación.</t>
  </si>
  <si>
    <t>Revisión de código del módulo de autenticación e inspección directa de la colección de usuarios en MongoDB.</t>
  </si>
  <si>
    <t>RNF-001</t>
  </si>
  <si>
    <t>ASR-03</t>
  </si>
  <si>
    <t>Bloqueo temporal por intentos fallidos</t>
  </si>
  <si>
    <t>El sistema debe bloquear temporalmente una cuenta durante 15 minutos tras 5 intentos consecutivos fallidos de autenticación.</t>
  </si>
  <si>
    <t>Autenticidad y no repudio</t>
  </si>
  <si>
    <t>Usuario o atacante</t>
  </si>
  <si>
    <t>Ingresa credenciales incorrectas repetidamente</t>
  </si>
  <si>
    <t>Operación normal y prueba de fuerza bruta simulada</t>
  </si>
  <si>
    <t>Servicio de autenticación</t>
  </si>
  <si>
    <t>Bloquea la cuenta exactamente en el quinto intento fallido y la libera después de 15 min</t>
  </si>
  <si>
    <t>Bloqueo activado en el intento 5 (±0) con duración de 15 min (±5 s), verificado en 10 ejecuciones consecutivas; registro del intento fallido en 100% de los casos</t>
  </si>
  <si>
    <t>Diseñar el contador de intentos con expiración y el registro de los intentos fallidos con correo, fecha, hora y motivo.</t>
  </si>
  <si>
    <t>Media</t>
  </si>
  <si>
    <t>Mecanismo estándar contra fuerza bruta; se localiza en el servicio de autenticación y en el registro de trazabilidad de accesos definido en RNF-006.</t>
  </si>
  <si>
    <t>Prueba automatizada de 5 intentos fallidos consecutivos con verificación del tiempo de bloqueo y del registro de intentos.</t>
  </si>
  <si>
    <t>RF-054; RNF-006</t>
  </si>
  <si>
    <t>ASR-04</t>
  </si>
  <si>
    <t>Control de acceso basado en roles (RBAC)</t>
  </si>
  <si>
    <t>El sistema debe aplicar RBAC de forma que cada usuario acceda únicamente a las funcionalidades y datos autorizados para su rol (Administrador, Empleado o Verificador).</t>
  </si>
  <si>
    <t>Confidencialidad y control de acceso</t>
  </si>
  <si>
    <t>Cualquier usuario autenticado</t>
  </si>
  <si>
    <t>Intenta acceder a una ruta o endpoint protegido</t>
  </si>
  <si>
    <t>Operación normal con los tres roles existentes</t>
  </si>
  <si>
    <t>Backend / capa de autorización</t>
  </si>
  <si>
    <t>Permite o rechaza el acceso según el rol asignado a la cuenta</t>
  </si>
  <si>
    <t>100% de los accesos con rol no autorizado son rechazados, probado en 30 intentos sobre endpoints de los tres roles</t>
  </si>
  <si>
    <t>Política transversal</t>
  </si>
  <si>
    <t>Definir el middleware de autorización por rol y centralizar los permisos en una política única del backend.</t>
  </si>
  <si>
    <t>RBAC atraviesa todos los módulos y endpoints; introducirlo tarde obliga a reescribir controladores y modelos de permisos.</t>
  </si>
  <si>
    <t>Pruebas de autorización con tokens de cada rol contra los endpoints de los demás roles.</t>
  </si>
  <si>
    <t>RF-005; RF-006; RNF-003</t>
  </si>
  <si>
    <t>ASR-05</t>
  </si>
  <si>
    <t>Gestión segura de sesiones con cierre por inactividad</t>
  </si>
  <si>
    <t>El sistema debe cerrar automáticamente la sesión tras 15 minutos de inactividad e impedir el acceso con una sesión finalizada o expirada.</t>
  </si>
  <si>
    <t>Integridad y confidencialidad de sesión</t>
  </si>
  <si>
    <t>Usuario autenticado</t>
  </si>
  <si>
    <t>Permanece inactivo durante 15 minutos o cierra sesión manualmente</t>
  </si>
  <si>
    <t>Operación normal, incluyendo equipos compartidos</t>
  </si>
  <si>
    <t>Servicio de autenticación / gestor de sesiones</t>
  </si>
  <si>
    <t>Invalida el token y rechaza las solicitudes posteriores que lo usen</t>
  </si>
  <si>
    <t>100% de los tokens expirados son rechazados en 50 intentos; cierre por inactividad ocurre entre 14 min 55 s y 15 min 05 s</t>
  </si>
  <si>
    <t>Definir el mecanismo de expiración de tokens (JWT con TTL o store de sesiones) y la invalidación explícita en el cierre.</t>
  </si>
  <si>
    <t>El manejo de sesiones condiciona el diseño de autenticación y debe decidirse al inicio para evitar reescribir el flujo entero.</t>
  </si>
  <si>
    <t>Prueba de reutilización del token después de cierre e inactividad, con 50 intentos cronometrados.</t>
  </si>
  <si>
    <t>RF-007; RNF-007</t>
  </si>
  <si>
    <t>ASR-06</t>
  </si>
  <si>
    <t>Generación automática de huella SHA-256</t>
  </si>
  <si>
    <t>Empleado, Verificador</t>
  </si>
  <si>
    <t>El sistema debe generar automáticamente la huella SHA-256 de todo documento cargado, sin intervención manual del usuario.</t>
  </si>
  <si>
    <t>Integridad</t>
  </si>
  <si>
    <t>Empleado o Verificador</t>
  </si>
  <si>
    <t>Carga un documento PDF al sistema</t>
  </si>
  <si>
    <t>Operación normal, archivos PDF ≤ 20 MB</t>
  </si>
  <si>
    <t>Servicio de hashing del backend</t>
  </si>
  <si>
    <t>Calcula el hash SHA-256 del contenido y lo asocia al registro del documento</t>
  </si>
  <si>
    <t>100% de las cargas generan un hash SHA-256 válido (64 hex) en ≤ 2 s para archivos de 20 MB, medido en 20 pruebas</t>
  </si>
  <si>
    <t>Definir el componente de hashing y su ubicación en el pipeline de carga (antes del registro en MongoDB y en la red).</t>
  </si>
  <si>
    <t>El hash es la evidencia que viaja a la blockchain; el componente debe estar diseñado desde el inicio y no puede cambiarse sin reescribir los registros existentes.</t>
  </si>
  <si>
    <t>Prueba funcional de 20 cargas con documentos de distinto tamaño y verificación del hash contra una herramienta externa (sha256sum).</t>
  </si>
  <si>
    <t>RF-014; RF-015; RF-030; RNF-011</t>
  </si>
  <si>
    <t>ASR-07</t>
  </si>
  <si>
    <t>Registro en blockchain sin almacenar el PDF</t>
  </si>
  <si>
    <t>Empleado, Verificador, Administrador</t>
  </si>
  <si>
    <t>El sistema debe registrar en Hyperledger Fabric únicamente la huella criptográfica y los eventos del documento, sin almacenar el archivo PDF ni datos personales en la red.</t>
  </si>
  <si>
    <t>Módulo de integración con blockchain</t>
  </si>
  <si>
    <t>Recibe un documento registrado o verificado</t>
  </si>
  <si>
    <t>Operación normal, red Hyperledger Fabric de pruebas disponible</t>
  </si>
  <si>
    <t>Red blockchain permisionada / chaincode</t>
  </si>
  <si>
    <t>Escribe en el ledger el hash, el identificador del documento, el usuario, la acción y la fecha</t>
  </si>
  <si>
    <t>100% de 30 transacciones auditadas contienen solo hash y metadatos permitidos; 0 cargas de PDF en el ledger</t>
  </si>
  <si>
    <t>Definir el esquema del asset en el chaincode y la frontera entre lo que se persiste en MongoDB y lo que se envía al ledger.</t>
  </si>
  <si>
    <t>La frontera de datos entre MongoDB y Hyperledger no es reversible: lo que entra a la blockchain queda inmutable, por lo que debe decidirse antes del primer registro.</t>
  </si>
  <si>
    <t>Auditoría manual del contenido de 30 transacciones del ledger contra el catálogo de campos permitidos.</t>
  </si>
  <si>
    <t>RF-016; RNF-004; RNF-008</t>
  </si>
  <si>
    <t>ASR-08</t>
  </si>
  <si>
    <t>Verificación de integridad por comparación de hashes</t>
  </si>
  <si>
    <t>Verificador</t>
  </si>
  <si>
    <t>El sistema debe determinar automáticamente si un documento es Verificado o Alterado comparando la huella registrada con la generada a partir del archivo cargado.</t>
  </si>
  <si>
    <t>Fiabilidad</t>
  </si>
  <si>
    <t>Correctitud funcional</t>
  </si>
  <si>
    <t>Verificador autenticado</t>
  </si>
  <si>
    <t>Carga el PDF a verificar y ejecuta la comparación</t>
  </si>
  <si>
    <t>Operación normal, documento previamente registrado</t>
  </si>
  <si>
    <t>Módulo de verificación / servicio de hashing</t>
  </si>
  <si>
    <t>Compara el hash recalculado contra el registrado en el ledger y muestra el resultado</t>
  </si>
  <si>
    <t>100% de los resultados coinciden con la operación de referencia (sha256sum) en 20 pruebas; actualización del estado en ≤ 2 s</t>
  </si>
  <si>
    <t>Definir el flujo de comparación, la fuente de verdad (ledger) y la actualización coordinada del estado en MongoDB.</t>
  </si>
  <si>
    <t>Es la funcionalidad central del producto; su diseño define la cadena hash → ledger → UI y condiciona la trazabilidad.</t>
  </si>
  <si>
    <t>Prueba funcional sobre 20 documentos, 10 íntegros y 10 alterados, con verificación cruzada contra sha256sum.</t>
  </si>
  <si>
    <t>RF-031; RF-032; RF-033; RF-034</t>
  </si>
  <si>
    <t>ASR-09</t>
  </si>
  <si>
    <t>Trazabilidad con txID de Hyperledger</t>
  </si>
  <si>
    <t>Administrador, Verificador, Auditor</t>
  </si>
  <si>
    <t>El sistema debe conservar el identificador de transacción (txID) generado por Hyperledger para cada acción registrada y mostrarlo en la trazabilidad.</t>
  </si>
  <si>
    <t>No repudio y auditabilidad</t>
  </si>
  <si>
    <t>Backend al confirmar una operación en el ledger</t>
  </si>
  <si>
    <t>Recibe el txID devuelto por Hyperledger</t>
  </si>
  <si>
    <t>Operación normal, ledger disponible</t>
  </si>
  <si>
    <t>Base de datos de trazabilidad (MongoDB) y vista de trazabilidad</t>
  </si>
  <si>
    <t>Guarda el txID junto al evento y lo expone en la consulta del rol correspondiente</t>
  </si>
  <si>
    <t>100% de los eventos registrados en el ledger quedan con su txID en MongoDB; recuperación del txID por evento en ≤ 1 s sobre 50 consultas</t>
  </si>
  <si>
    <t>Definir el campo txID en el esquema de trazabilidad y el momento de persistencia respecto a la confirmación del ledger.</t>
  </si>
  <si>
    <t>El txID es la ancla de auditoría contra la blockchain; omitirlo rompe la reconstrucción cronológica y la evidencia frente a terceros.</t>
  </si>
  <si>
    <t>Consulta cruzada entre la trazabilidad en MongoDB y las transacciones del ledger para 30 eventos.</t>
  </si>
  <si>
    <t>RF-022; RF-035; RF-040; RF-051; RNF-026; RNF-027</t>
  </si>
  <si>
    <t>ASR-10</t>
  </si>
  <si>
    <t>Aceptación trazable de la política de tratamiento de datos</t>
  </si>
  <si>
    <t>Administrador, Oficial de protección de datos, Empleado, Verificador</t>
  </si>
  <si>
    <t>El sistema debe presentar la política de tratamiento de datos en el primer inicio de sesión de cada usuario y condicionar el acceso a su aceptación, registrando usuario, fecha, hora y versión aceptada.</t>
  </si>
  <si>
    <t>No repudio y cumplimiento</t>
  </si>
  <si>
    <t>Usuario que inicia sesión por primera vez (o después de un cambio de versión)</t>
  </si>
  <si>
    <t>Autentica correctamente pero aún no ha aceptado la versión vigente de la política</t>
  </si>
  <si>
    <t>Operación normal; existe una versión vigente publicada</t>
  </si>
  <si>
    <t>Servicio de autenticación / módulo de consentimiento</t>
  </si>
  <si>
    <t>Bloquea el acceso al resto de funcionalidades hasta aceptar y registra la aceptación con metadatos</t>
  </si>
  <si>
    <t>100% de los usuarios nuevos quedan bloqueados hasta aceptar; 100% de las aceptaciones registran usuario, fecha, hora y versión, verificado en 20 pruebas</t>
  </si>
  <si>
    <t>Definir el versionado de la política, el almacenamiento de los consentimientos y su integración en el flujo de login.</t>
  </si>
  <si>
    <t>El consentimiento versionado atraviesa el flujo de login y es exigible por ley (habeas data) y por el alcance ISO 27001; omitirlo exige reescribir el flujo de autenticación.</t>
  </si>
  <si>
    <t>Prueba funcional del primer login con usuarios nuevos y verificación en MongoDB de los campos de consentimiento registrados.</t>
  </si>
  <si>
    <t>RF-055</t>
  </si>
  <si>
    <t>ASR-11</t>
  </si>
  <si>
    <t>Baja lógica de usuarios preservando trazabilidad histórica</t>
  </si>
  <si>
    <t>Administrador</t>
  </si>
  <si>
    <t>El sistema debe permitir desactivar un usuario (baja lógica) sin eliminar físicamente su información ni afectar la trazabilidad histórica de sus acciones previas.</t>
  </si>
  <si>
    <t>No repudio e integridad</t>
  </si>
  <si>
    <t>Administrador autenticado</t>
  </si>
  <si>
    <t>Desactiva una cuenta existente</t>
  </si>
  <si>
    <t>Operación normal, usuario con eventos previos en MongoDB y en el ledger</t>
  </si>
  <si>
    <t>Backend / modelo de usuarios</t>
  </si>
  <si>
    <t>Marca la cuenta como inactiva y bloquea nuevos inicios de sesión, sin modificar sus eventos pasados</t>
  </si>
  <si>
    <t>0 cambios en los eventos previos del usuario sobre 20 desactivaciones; 100% de los intentos de login posteriores son rechazados</t>
  </si>
  <si>
    <t>Decidir el modelo de borrado lógico (campo estado) y la relación entre identificador de usuario y trazabilidad inmutable del ledger.</t>
  </si>
  <si>
    <t>El borrado lógico condiciona el modelo de datos y la relación con los eventos inmutables del ledger; no se puede introducir después sin romper referencias.</t>
  </si>
  <si>
    <t>Prueba funcional de desactivación y verificación de que los eventos del usuario permanecen íntegros en MongoDB y en Fabric.</t>
  </si>
  <si>
    <t>RF-047; RNF-003</t>
  </si>
  <si>
    <t>ASR-12</t>
  </si>
  <si>
    <t>Rendimiento de consultas de documentos y trazabilidad</t>
  </si>
  <si>
    <t>Calidad</t>
  </si>
  <si>
    <t>Las operaciones de consulta de documentos y trazabilidad deben responder dentro del tiempo acordado para el entorno de pruebas del MVP.</t>
  </si>
  <si>
    <t>Eficiencia de desempeño</t>
  </si>
  <si>
    <t>Comportamiento temporal</t>
  </si>
  <si>
    <t>Ejecuta una consulta de documentos o de trazabilidad</t>
  </si>
  <si>
    <t>Entorno Docker local de pruebas, hasta 1.000 documentos registrados</t>
  </si>
  <si>
    <t>Capa de consulta sobre MongoDB</t>
  </si>
  <si>
    <t>Devuelve la lista con los filtros aplicados</t>
  </si>
  <si>
    <t>p95 ≤ 3.000 ms en 50 peticiones consecutivas por endpoint, con tasa de error &lt; 1%</t>
  </si>
  <si>
    <t>Definir los índices de MongoDB y la paginación para los endpoints de consulta.</t>
  </si>
  <si>
    <t>El dimensionamiento de índices y paginación debe planearse en el diseño del modelo de datos; cambiarlo después implica migración.</t>
  </si>
  <si>
    <t>Prueba de carga con 50 peticiones consecutivas sobre los endpoints RF-018, RF-021, RF-037 y RF-039.</t>
  </si>
  <si>
    <t>RF-018; RF-021; RF-037; RF-039; RNF-009</t>
  </si>
  <si>
    <t>ASR-13</t>
  </si>
  <si>
    <t>Rendimiento de la verificación de integridad</t>
  </si>
  <si>
    <t>La operación de verificación de integridad debe completarse dentro del tiempo acordado para el MVP.</t>
  </si>
  <si>
    <t>Ejecuta la verificación de un documento</t>
  </si>
  <si>
    <t>Entorno Docker local, archivos PDF de hasta 20 MB</t>
  </si>
  <si>
    <t>Pipeline de verificación (hashing + consulta al ledger)</t>
  </si>
  <si>
    <t>Devuelve el veredicto Verificado/Alterado al usuario</t>
  </si>
  <si>
    <t>p95 ≤ 3.000 ms en 50 verificaciones consecutivas, con tasa de error &lt; 1%</t>
  </si>
  <si>
    <t>Conector o integración</t>
  </si>
  <si>
    <t>Definir los timeouts, reintentos y el modo de consulta al ledger de Fabric desde el backend.</t>
  </si>
  <si>
    <t>El tiempo depende de la integración con Fabric; sus límites se fijan desde el diseño porque son difíciles de recuperar luego sin reescribir el conector.</t>
  </si>
  <si>
    <t>Prueba de carga con 50 verificaciones consecutivas midiendo la latencia extremo a extremo.</t>
  </si>
  <si>
    <t>RNF-010</t>
  </si>
  <si>
    <t>ASR-14</t>
  </si>
  <si>
    <t>Disponibilidad del MVP ≥ 95%</t>
  </si>
  <si>
    <t>El sistema debe mantener una disponibilidad ≥ 95% durante el mes de pruebas del MVP, medida por verificación automática de estado cada 5 minutos.</t>
  </si>
  <si>
    <t>Disponibilidad</t>
  </si>
  <si>
    <t>Monitor de salud del sistema</t>
  </si>
  <si>
    <t>Ejecuta un health-check cada 5 minutos</t>
  </si>
  <si>
    <t>Despliegue en contenedores Docker, periodo de pruebas de 1 mes</t>
  </si>
  <si>
    <t>Despliegue completo (frontend, backend, MongoDB, Fabric)</t>
  </si>
  <si>
    <t>Responde satisfactoriamente al health-check</t>
  </si>
  <si>
    <t>Disponibilidad ≥ 95% medida cada 5 min durante 30 días; intervalo con health-check fallido cuenta como indisponible</t>
  </si>
  <si>
    <t>Despliegue e infraestructura</t>
  </si>
  <si>
    <t>Definir reinicio automático de contenedores, health-checks de Docker Compose y procedimiento de recuperación.</t>
  </si>
  <si>
    <t>La disponibilidad obliga a decidir sobre topología de contenedores, reinicio y monitoreo desde el diseño del despliegue.</t>
  </si>
  <si>
    <t>Health-check automatizado cada 5 min durante 30 días y cálculo del porcentaje de disponibilidad.</t>
  </si>
  <si>
    <t>RNF-012</t>
  </si>
  <si>
    <t>ASR-15</t>
  </si>
  <si>
    <t>Consistencia entre MongoDB y Hyperledger Fabric</t>
  </si>
  <si>
    <t>Administrador, Verificador</t>
  </si>
  <si>
    <t>Los documentos, identificadores y eventos deben mantenerse en correspondencia entre MongoDB y la red Hyperledger Fabric.</t>
  </si>
  <si>
    <t>Tolerancia a fallos</t>
  </si>
  <si>
    <t>Backend al ejecutar una operación que escribe en ambos destinos</t>
  </si>
  <si>
    <t>Falla una de las dos escrituras (MongoDB o ledger)</t>
  </si>
  <si>
    <t>Operación normal con fallos simulados en una de las dos dependencias</t>
  </si>
  <si>
    <t>Capa de persistencia dual (MongoDB + chaincode)</t>
  </si>
  <si>
    <t>Revierte, reintenta o marca el evento para reconciliación, sin dejar estados inconsistentes</t>
  </si>
  <si>
    <t>0 inconsistencias detectadas en 50 operaciones con 10 fallos inyectados; reconciliación completada en ≤ 60 s</t>
  </si>
  <si>
    <t>Mecanismo compartido</t>
  </si>
  <si>
    <t>Diseñar el patrón de escritura dual (saga, outbox o compensación) y el proceso de reconciliación.</t>
  </si>
  <si>
    <t>La correspondencia entre dos sistemas de persistencia es un mecanismo transversal costoso de introducir después del primer registro.</t>
  </si>
  <si>
    <t>Pruebas con inyección de fallos en MongoDB y en el peer de Fabric, verificando la ausencia de registros huérfanos.</t>
  </si>
  <si>
    <t>RNF-013</t>
  </si>
  <si>
    <t>ASR-16</t>
  </si>
  <si>
    <t>Inmutabilidad de la evidencia en blockchain</t>
  </si>
  <si>
    <t>Verificador, Administrador, Auditor</t>
  </si>
  <si>
    <t>Las huellas y eventos registrados en Hyperledger Fabric deben conservarse inmutables y en orden cronológico, sin poder modificarse por las operaciones normales del sistema.</t>
  </si>
  <si>
    <t>Integridad y no repudio</t>
  </si>
  <si>
    <t>Intenta modificar o eliminar un registro del ledger desde la aplicación</t>
  </si>
  <si>
    <t>Operación normal, red Fabric de pruebas</t>
  </si>
  <si>
    <t>Chaincode / ledger</t>
  </si>
  <si>
    <t>Rechaza toda operación que intente modificar un registro histórico</t>
  </si>
  <si>
    <t>0 modificaciones aplicadas sobre 20 intentos; orden cronológico y txID verificables en 30 consultas</t>
  </si>
  <si>
    <t>Prohibir en el chaincode toda operación de update/delete sobre registros existentes y limitar los endpoints del backend al modo append.</t>
  </si>
  <si>
    <t>La inmutabilidad es el sustento del proyecto; permitir modificación destruye la propuesta de valor y la auditabilidad.</t>
  </si>
  <si>
    <t>Pruebas de intento de modificación directa y vía backend, con auditoría del orden de los eventos.</t>
  </si>
  <si>
    <t>RNF-005; RNF-027</t>
  </si>
  <si>
    <t>ASR-17</t>
  </si>
  <si>
    <t>Detección confiable de alteraciones documentales</t>
  </si>
  <si>
    <t>El sistema debe detectar todas las alteraciones realizadas sobre los documentos usados en las pruebas de integridad.</t>
  </si>
  <si>
    <t>Correctitud y confiabilidad</t>
  </si>
  <si>
    <t>Verificador que ejecuta pruebas de integridad</t>
  </si>
  <si>
    <t>Carga una versión alterada de un documento previamente registrado</t>
  </si>
  <si>
    <t>Suite de 20 documentos sintéticos definidos para la validación</t>
  </si>
  <si>
    <t>Módulo de verificación</t>
  </si>
  <si>
    <t>Devuelve el estado Alterado para todo documento que no coincida</t>
  </si>
  <si>
    <t>100% de las alteraciones detectadas sobre los 20 documentos de prueba; 0 falsos negativos</t>
  </si>
  <si>
    <t>Definir el pipeline de comparación sin tolerancia (bit a bit) y los casos de prueba de la suite.</t>
  </si>
  <si>
    <t>Es el KPI central del proyecto; sin esta garantía la plataforma pierde su valor y la arquitectura queda sin criterio de aceptación.</t>
  </si>
  <si>
    <t>Ejecución de la suite de validación con 20 documentos (10 íntegros y 10 alterados) y verificación de resultados.</t>
  </si>
  <si>
    <t>RNF-014; RNF-028</t>
  </si>
  <si>
    <t>ASR-18</t>
  </si>
  <si>
    <t>Facilidad de uso de las tareas principales</t>
  </si>
  <si>
    <t>Los usuarios deben poder completar sin asistencia al menos el 90% de las tareas principales de su rol, sin requerir conocimientos de blockchain ni criptografía.</t>
  </si>
  <si>
    <t>Capacidad de interacción</t>
  </si>
  <si>
    <t>Aprendizaje y operabilidad</t>
  </si>
  <si>
    <t>Usuario sin experiencia previa en la plataforma</t>
  </si>
  <si>
    <t>Intenta completar una carga, una verificación o una consulta por su cuenta</t>
  </si>
  <si>
    <t>Primera sesión, instrucciones mínimas, equipo de escritorio</t>
  </si>
  <si>
    <t>Frontend (interfaz de los tres roles)</t>
  </si>
  <si>
    <t>Permite completar la tarea sin ayuda externa</t>
  </si>
  <si>
    <t>≥ 90% de 10 participantes completa las 3 tareas principales (carga, verificación, consulta) sin asistencia</t>
  </si>
  <si>
    <t>Diseñar los flujos del frontend ocultando la complejidad criptográfica y entregando retroalimentación clara.</t>
  </si>
  <si>
    <t>Baja</t>
  </si>
  <si>
    <t>La usabilidad se resuelve dentro del frontend sin tocar contratos ni despliegue, pero sigue siendo un atributo medible del producto.</t>
  </si>
  <si>
    <t>Prueba de usabilidad con 10 participantes y medición del porcentaje de tareas completadas sin asistencia.</t>
  </si>
  <si>
    <t>RNF-015; RNF-016; RNF-017; RNF-018</t>
  </si>
  <si>
    <t>ASR-19</t>
  </si>
  <si>
    <t>Arquitectura modular por capas</t>
  </si>
  <si>
    <t>Equipo de desarrollo, Evaluador académico</t>
  </si>
  <si>
    <t>El sistema debe separar presentación, lógica de aplicación, integración con blockchain y persistencia, de forma que el frontend no interactúe directamente con Hyperledger Fabric.</t>
  </si>
  <si>
    <t>Mantenibilidad</t>
  </si>
  <si>
    <t>Modularidad</t>
  </si>
  <si>
    <t>Equipo de desarrollo</t>
  </si>
  <si>
    <t>Modifica o reemplaza uno de los módulos</t>
  </si>
  <si>
    <t>Repositorio del proyecto en su estado de entrega</t>
  </si>
  <si>
    <t>Estructura de carpetas y despliegue del sistema</t>
  </si>
  <si>
    <t>Permite modificar un módulo sin tocar los otros tres</t>
  </si>
  <si>
    <t>Un cambio tipo (p. ej., cambiar la UI o el motor de hashing) toca ≤ 1 módulo y no requiere redesplegar el chaincode</t>
  </si>
  <si>
    <t>Límite de contexto o módulo</t>
  </si>
  <si>
    <t>Definir los límites de los cuatro módulos y los contratos entre ellos (API REST backend ↔ frontend, SDK Fabric ↔ backend).</t>
  </si>
  <si>
    <t>La separación en capas es un mecanismo transversal: no se puede introducir después sin reescribir las interfaces y romper el acoplamiento ya hecho.</t>
  </si>
  <si>
    <t>Ejercicio de cambio controlado sobre uno de los módulos y conteo de los módulos afectados.</t>
  </si>
  <si>
    <t>RNF-019; RNF-020</t>
  </si>
  <si>
    <t>ASR-20</t>
  </si>
  <si>
    <t>Contenerización con Docker y Docker Compose</t>
  </si>
  <si>
    <t>Todos los componentes del sistema deben ejecutarse mediante contenedores Docker orquestados con Docker Compose.</t>
  </si>
  <si>
    <t>Flexibilidad</t>
  </si>
  <si>
    <t>Instalabilidad</t>
  </si>
  <si>
    <t>Evaluador o desarrollador nuevo</t>
  </si>
  <si>
    <t>Ejecuta el comando de levantamiento del docker-compose</t>
  </si>
  <si>
    <t>Equipo limpio con Docker instalado, sin configuración previa</t>
  </si>
  <si>
    <t>Contenedores de frontend, backend, MongoDB y red Fabric</t>
  </si>
  <si>
    <t>Levanta todos los servicios y los deja disponibles</t>
  </si>
  <si>
    <t>La aplicación queda operativa en ≤ 10 min en 3 de 3 intentos sobre una máquina limpia</t>
  </si>
  <si>
    <t>Definir los Dockerfiles, el docker-compose y los volúmenes para MongoDB y el ledger.</t>
  </si>
  <si>
    <t>La contenerización condiciona la topología del despliegue y la forma de ejecutar la red Fabric; cambiarla después implica rehacer scripts y volúmenes.</t>
  </si>
  <si>
    <t>Despliegue en una máquina limpia y verificación de que los cuatro servicios respondan correctamente.</t>
  </si>
  <si>
    <t>RNF-021</t>
  </si>
  <si>
    <t>ASR-21</t>
  </si>
  <si>
    <t>Escalabilidad del diseño para nuevos módulos</t>
  </si>
  <si>
    <t>Equipo de desarrollo, Director de tesis</t>
  </si>
  <si>
    <t>La arquitectura debe permitir incorporar nuevos módulos o funcionalidades sin requerir una modificación completa de los componentes existentes.</t>
  </si>
  <si>
    <t>Escalabilidad y adaptabilidad</t>
  </si>
  <si>
    <t>Incorpora un nuevo módulo al sistema (p. ej., firma digital, OCR, nuevo rol)</t>
  </si>
  <si>
    <t>Operación normal del MVP, repositorio en estado de entrega</t>
  </si>
  <si>
    <t>Backend y frontend del sistema</t>
  </si>
  <si>
    <t>El nuevo módulo se integra manteniendo los contratos de los módulos existentes</t>
  </si>
  <si>
    <t>La incorporación de un módulo nuevo toca ≤ 1 módulo existente y no obliga a redesplegar el chaincode ni a cambiar el esquema de la red Fabric</t>
  </si>
  <si>
    <t>Definir puntos de extensión (hooks, interfaces de servicios, patrón de adaptadores) desde el diseño inicial.</t>
  </si>
  <si>
    <t>La extensibilidad es un mecanismo transversal: introducirlo tarde obliga a refactorizar los módulos ya acoplados y a renegociar contratos internos.</t>
  </si>
  <si>
    <t>Ejercicio de incorporación controlada de un módulo nuevo (p. ej., mock de firma digital) midiendo los módulos afectados.</t>
  </si>
  <si>
    <t>RNF-022</t>
  </si>
  <si>
    <t>ASR-22</t>
  </si>
  <si>
    <t>Uso de Hyperledger Fabric como red permisionada</t>
  </si>
  <si>
    <t>Restricción</t>
  </si>
  <si>
    <t>La evidencia criptográfica debe registrarse en una red blockchain permisionada basada en Hyperledger Fabric, no en una red pública.</t>
  </si>
  <si>
    <t>Confidencialidad y cumplimiento</t>
  </si>
  <si>
    <t>Configura la red blockchain para los registros</t>
  </si>
  <si>
    <t>Fase de desarrollo y pruebas del MVP</t>
  </si>
  <si>
    <t>Módulo de integración blockchain</t>
  </si>
  <si>
    <t>Se conecta únicamente a la red Hyperledger Fabric configurada</t>
  </si>
  <si>
    <t>100% de los registros se escriben en la red Fabric configurada; 0 transacciones hacia redes públicas</t>
  </si>
  <si>
    <t>Fijar Fabric como único destino de las transacciones y definir el SDK y el perfil de conexión.</t>
  </si>
  <si>
    <t>Es una restricción obligatoria del alcance del proyecto; condiciona el stack, la privacidad del dato y el modelo operacional.</t>
  </si>
  <si>
    <t>Revisión del perfil de conexión y auditoría de las transacciones del ledger.</t>
  </si>
  <si>
    <t>Alcance del proyecto - Qué queda fuera del alcance</t>
  </si>
  <si>
    <t>ASR-23</t>
  </si>
  <si>
    <t>SHA-256 como algoritmo de hashing obligatorio</t>
  </si>
  <si>
    <t>La generación de huellas documentales debe realizarse exclusivamente mediante el algoritmo SHA-256.</t>
  </si>
  <si>
    <t>Define el algoritmo de hashing al cargar o verificar un documento</t>
  </si>
  <si>
    <t>Produce la huella SHA-256 que se almacena y se compara</t>
  </si>
  <si>
    <t>100% de las huellas generadas corresponden a SHA-256 (64 caracteres hex), verificado en 20 documentos de prueba</t>
  </si>
  <si>
    <t>Fijar el algoritmo de hashing y evitar que otros algoritmos convivan en el pipeline.</t>
  </si>
  <si>
    <t>Es una restricción técnica del alcance del proyecto; cualquier cambio futuro invalida los registros ya almacenados en el ledger.</t>
  </si>
  <si>
    <t>Revisión de código del componente de hashing y verificación cruzada con sha256sum sobre 20 archivos.</t>
  </si>
  <si>
    <t>RF-014; RF-030</t>
  </si>
  <si>
    <t>ASR-24</t>
  </si>
  <si>
    <t>Formato PDF y tamaño máximo de 20 MB</t>
  </si>
  <si>
    <t>El sistema debe aceptar exclusivamente archivos en formato PDF con tamaño ≤ 20 MB y rechazar cargas masivas o por lotes.</t>
  </si>
  <si>
    <t>Adecuación funcional</t>
  </si>
  <si>
    <t>Pertinencia</t>
  </si>
  <si>
    <t>Intenta cargar un archivo</t>
  </si>
  <si>
    <t>Operación normal del MVP</t>
  </si>
  <si>
    <t>Validador de carga del backend</t>
  </si>
  <si>
    <t>Rechaza cualquier archivo que no sea PDF, exceda 20 MB o venga por lotes</t>
  </si>
  <si>
    <t>100% de las cargas aceptadas son PDF individuales ≤ 20 MB; 100% de los archivos fuera del criterio son rechazados en 20 intentos</t>
  </si>
  <si>
    <t>Fijar los validadores de formato y tamaño en el backend antes del hashing.</t>
  </si>
  <si>
    <t>Es una restricción del alcance; se acata y limita el diseño del validador y del servicio de hashing.</t>
  </si>
  <si>
    <t>Prueba de carga con archivos válidos e inválidos (otro formato, &gt;20 MB, lote) y verificación del rechazo.</t>
  </si>
  <si>
    <t>RF-009; RF-010; RF-011; RNF-023; RNF-024</t>
  </si>
  <si>
    <t>ASR-25</t>
  </si>
  <si>
    <t>Alineación con ISO/IEC 27001:2022 Anexo A</t>
  </si>
  <si>
    <t>Director de tesis, Responsable de seguridad</t>
  </si>
  <si>
    <t>El diseño debe considerar los controles de acceso, criptografía, integridad y protección de la información del Anexo A de ISO/IEC 27001:2022 contemplados en el alcance.</t>
  </si>
  <si>
    <t>Cumplimiento</t>
  </si>
  <si>
    <t>Director de tesis / revisor académico</t>
  </si>
  <si>
    <t>Audita el diseño frente a los controles seleccionados del Anexo A</t>
  </si>
  <si>
    <t>Evaluación académica del MVP</t>
  </si>
  <si>
    <t>Documentación de diseño y controles implementados</t>
  </si>
  <si>
    <t>Mapea cada control del alcance a su mecanismo en el sistema</t>
  </si>
  <si>
    <t>100% de los controles del alcance aparecen implementados o justificados en el documento de diseño</t>
  </si>
  <si>
    <t>Documentar la trazabilidad entre los controles del Anexo A seleccionados y las decisiones de arquitectura.</t>
  </si>
  <si>
    <t>El alcance de la tesis exige referencia explícita a ISO/IEC 27001; condiciona decisiones de autenticación, cifrado, trazabilidad y manejo de credenciales.</t>
  </si>
  <si>
    <t>Revisión documental de la matriz controles-decisiones firmada con el director de tesis.</t>
  </si>
  <si>
    <t>RNF-030</t>
  </si>
  <si>
    <t>ASR-26</t>
  </si>
  <si>
    <t>Compatibilidad con navegadores web modernos</t>
  </si>
  <si>
    <t>El sistema debe ser accesible mediante navegadores web modernos que soporten las tecnologías utilizadas (HTML5, ES2020 y superior).</t>
  </si>
  <si>
    <t>Compatibilidad</t>
  </si>
  <si>
    <t>Interoperabilidad</t>
  </si>
  <si>
    <t>Elige el stack del frontend y las APIs del navegador que puede usar</t>
  </si>
  <si>
    <t>Fase de desarrollo del MVP</t>
  </si>
  <si>
    <t>Frontend de la aplicación</t>
  </si>
  <si>
    <t>El frontend se ejecuta correctamente en versiones actuales de Chrome, Edge y Firefox</t>
  </si>
  <si>
    <t>100% de los 3 flujos principales (carga, verificación, consulta) funcionan en las versiones vigentes de Chrome, Edge y Firefox, probado en 3 equipos distintos</t>
  </si>
  <si>
    <t>Fijar el nivel de soporte de navegadores y evitar APIs no estándar que obliguen a polyfills complejos.</t>
  </si>
  <si>
    <t>Es una restricción del alcance que acota el stack del frontend; se acata y limita el conjunto de APIs utilizables.</t>
  </si>
  <si>
    <t>Verificación manual de los 3 flujos principales en las tres últimas versiones estables de los navegadores de referencia.</t>
  </si>
  <si>
    <t>RNF-025</t>
  </si>
  <si>
    <t>ASR-27</t>
  </si>
  <si>
    <t>Panel resumen de documentos del Administrador</t>
  </si>
  <si>
    <t>El panel general del Administrador debe mostrar los conteos de documentos registrados, verificados, pendientes y alterados.</t>
  </si>
  <si>
    <t>Abre el panel general</t>
  </si>
  <si>
    <t>Operación normal, hasta 1.000 documentos registrados</t>
  </si>
  <si>
    <t>Módulo de reportes del panel administrativo</t>
  </si>
  <si>
    <t>Muestra los cuatro conteos agregados</t>
  </si>
  <si>
    <t>Los conteos se muestran en ≤ 3 s después de abrir el panel, sobre 20 ejecuciones</t>
  </si>
  <si>
    <t>Resolver los conteos con consultas agregadas sobre la colección de documentos en MongoDB.</t>
  </si>
  <si>
    <t>No</t>
  </si>
  <si>
    <t>El escenario es medible y legítimo, pero se resuelve con consultas de agregación dentro del módulo de reportes sin afectar contratos ni despliegue.</t>
  </si>
  <si>
    <t>Prueba funcional con medición del tiempo de carga del panel.</t>
  </si>
  <si>
    <t>RF-041; RF-042</t>
  </si>
  <si>
    <t>Universidad Católica de Colombia | Facultad de Ingeniería | Arquitectura de Software (CT10073) | Solangie Garavito</t>
  </si>
  <si>
    <t>Utility Tree</t>
  </si>
  <si>
    <t>Solo escenarios de calidad con dictamen Sí. Escriba el ID y el resto se completa desde la hoja 1.</t>
  </si>
  <si>
    <t>Qué es el Utility Tree y cómo se lee</t>
  </si>
  <si>
    <t>Es un árbol de cuatro niveles. La raíz es Utilidad, es decir, la utilidad total del sistema para los stakeholders. El nivel 1 son las características de calidad. El nivel 2 son refinamientos o subcaracterísticas. Las hojas son escenarios concretos y medibles, y cada hoja lleva un par de etiquetas: (VN, IA).
El par no es decoración: es el criterio para decidir qué se analiza primero. Las hojas (Alta, Alta) son las que se evalúan y prototipan primero, porque valen mucho y son difíciles de cambiar después.</t>
  </si>
  <si>
    <t>Su árbol: escriba los ID en la columna B</t>
  </si>
  <si>
    <t>Nivel 1: característica de calidad</t>
  </si>
  <si>
    <t>Nivel 2: refinamiento</t>
  </si>
  <si>
    <t>Hoja: escenario</t>
  </si>
  <si>
    <t>VN</t>
  </si>
  <si>
    <t>IA</t>
  </si>
  <si>
    <t>Par (VN, IA)</t>
  </si>
  <si>
    <t>Control: ¿esta hoja pertenece al árbol?</t>
  </si>
  <si>
    <t>Cómo se ve el árbol dibujado (ejemplo con los casos de la hoja 2)</t>
  </si>
  <si>
    <t>Utilidad</t>
  </si>
  <si>
    <t>|</t>
  </si>
  <si>
    <t>|-- Eficiencia de desempeño</t>
  </si>
  <si>
    <t>|   |-- Comportamiento temporal</t>
  </si>
  <si>
    <t>|   |   |-- ASR-12  Rendimiento de consultas de documentos y trazabilidad ...... (Alta, Media)</t>
  </si>
  <si>
    <t>|   |   |-- ASR-13  Rendimiento de la verificación de integridad ................ (Alta, Media)</t>
  </si>
  <si>
    <t>|-- Fiabilidad</t>
  </si>
  <si>
    <t>|   |-- Disponibilidad</t>
  </si>
  <si>
    <t>|   |   |-- ASR-14  Disponibilidad del MVP ≥ 95% ................................. (Alta, Media)</t>
  </si>
  <si>
    <t>|   |-- Tolerancia a fallos</t>
  </si>
  <si>
    <t>|   |   |-- ASR-15  Consistencia entre MongoDB y Hyperledger Fabric .............. (Alta, Alta)</t>
  </si>
  <si>
    <t>|   |-- Correctitud y confiabilidad</t>
  </si>
  <si>
    <t>|   |   |-- ASR-17  Detección confiable de alteraciones documentales ............. (Alta, Media)</t>
  </si>
  <si>
    <t>|-- Seguridad</t>
  </si>
  <si>
    <t>|   |-- Integridad y no repudio</t>
  </si>
  <si>
    <t>|   |   |-- ASR-16  Inmutabilidad de la evidencia en blockchain .................. (Alta, Alta)</t>
  </si>
  <si>
    <t>|-- Mantenibilidad</t>
  </si>
  <si>
    <t>|   |-- Modularidad</t>
  </si>
  <si>
    <t>|   |   |-- ASR-19  Arquitectura modular por capas .............................. (Alta, Alta)</t>
  </si>
  <si>
    <t>|-- Capacidad de interacción</t>
  </si>
  <si>
    <t>|   |-- Aprendizaje y operabilidad</t>
  </si>
  <si>
    <t>|   |   |-- ASR-18  Facilidad de uso de las tareas principales .................. (Media, Baja)</t>
  </si>
  <si>
    <t>|-- Flexibilidad</t>
  </si>
  <si>
    <t xml:space="preserve">    |-- Instalabilidad</t>
  </si>
  <si>
    <t xml:space="preserve">    |   |-- ASR-20  Contenerización con Docker y Docker Compose ................. (Media, Media)</t>
  </si>
  <si>
    <t xml:space="preserve">    |-- Escalabilidad y adaptabilidad</t>
  </si>
  <si>
    <t xml:space="preserve">        |-- ASR-21  Escalabilidad del diseño para nuevos módulos ................ (Media, Alta)</t>
  </si>
  <si>
    <t>De los ocho ejemplos de la hoja 2 solo cuatro llegaron al árbol. ASR-02 es Funcional, ASR-05 es Restricción, ASR-07 quedó Por validar y ASR-08 no es ASR.</t>
  </si>
  <si>
    <t>Qué hacer con cada par (VN, IA)</t>
  </si>
  <si>
    <t>Par</t>
  </si>
  <si>
    <t>Qué significa</t>
  </si>
  <si>
    <t>Qué hace usted primero</t>
  </si>
  <si>
    <t>(Alta, Alta)</t>
  </si>
  <si>
    <t>Vale mucho y es difícil de cambiar después.</t>
  </si>
  <si>
    <t>Prioridad 1. Diseñe, prototipe y evalúe este escenario antes que los demás.</t>
  </si>
  <si>
    <t>(Alta, Media)</t>
  </si>
  <si>
    <t>Vale mucho pero la decisión es localizable.</t>
  </si>
  <si>
    <t>Prioridad 2. Diseñe con cuidado, pero no bloquee el proyecto por esto.</t>
  </si>
  <si>
    <t>(Media, Alta)</t>
  </si>
  <si>
    <t>Vale menos, pero equivocarse cuesta caro.</t>
  </si>
  <si>
    <t>Prioridad 2. Decida temprano aunque no urja, porque revertirlo es difícil.</t>
  </si>
  <si>
    <t>(Media, Media) o menor</t>
  </si>
  <si>
    <t>Ni decisivo ni costoso de cambiar.</t>
  </si>
  <si>
    <t>Documéntelo y siga. Revise si en realidad debía ser ASR.</t>
  </si>
  <si>
    <t>Cómo escribir una medida que sirva</t>
  </si>
  <si>
    <t>La medida es la parte del escenario que más se hace mal.</t>
  </si>
  <si>
    <t>Fórmula de una medida correcta</t>
  </si>
  <si>
    <t>número + unidad + estadístico o porcentaje + ventana de tiempo
Ejemplo: "p95 &lt;= 2 s durante 30 minutos continuos". Tiene número (2), unidad (segundos), estadístico (percentil 95) y ventana (30 minutos).
Sin uno de los cuatro, la medida no se puede verificar y el escenario no está terminado.</t>
  </si>
  <si>
    <t>Formas de medida por característica de calidad</t>
  </si>
  <si>
    <t>Característica</t>
  </si>
  <si>
    <t>Qué se mide</t>
  </si>
  <si>
    <t>Así se escribe bien</t>
  </si>
  <si>
    <t>Así se escribe mal (y por qué)</t>
  </si>
  <si>
    <t>Con qué se verifica</t>
  </si>
  <si>
    <t>Tiempo de respuesta, throughput, uso de recursos</t>
  </si>
  <si>
    <t>p95 &lt;= 2 s con 1.500 solicitudes por minuto durante 30 min</t>
  </si>
  <si>
    <t>"Debe ser rápido": no hay número, unidad ni carga</t>
  </si>
  <si>
    <t>Prueba de carga con perfil y datos representativos</t>
  </si>
  <si>
    <t>Capacidad concurrente</t>
  </si>
  <si>
    <t>Soporta 8.000 usuarios concurrentes con error &lt; 1% durante 60 min</t>
  </si>
  <si>
    <t>"Debe soportar muchos usuarios": no define cuántos ni por cuánto tiempo</t>
  </si>
  <si>
    <t>Prueba de carga escalonada hasta el objetivo</t>
  </si>
  <si>
    <t>Disponibilidad, recuperación</t>
  </si>
  <si>
    <t>Disponibilidad mensual 99,95%; RTO &lt;= 5 min; RPO &lt;= 1 min</t>
  </si>
  <si>
    <t>"Debe estar siempre disponible": 100% no es verificable ni alcanzable</t>
  </si>
  <si>
    <t>Ejercicio de recuperación con medición real</t>
  </si>
  <si>
    <t>Fiabilidad5</t>
  </si>
  <si>
    <t>Ante la caída de una réplica, degrada sin perder transacciones confirmadas</t>
  </si>
  <si>
    <t>"No debe fallar": no describe la falla ni la respuesta esperada</t>
  </si>
  <si>
    <t>Inyección de fallos en ambiente controlado</t>
  </si>
  <si>
    <t>Seguridad6</t>
  </si>
  <si>
    <t>Cobertura de control, tiempo de decisión</t>
  </si>
  <si>
    <t>100% de transferencias evaluadas antes de contabilizar; decisión p95 &lt;= 800 ms</t>
  </si>
  <si>
    <t>"Debe ser seguro": no nombra amenaza, control ni cobertura</t>
  </si>
  <si>
    <t>Pruebas de integración y revisión de registros</t>
  </si>
  <si>
    <t>Mantenibilidad7</t>
  </si>
  <si>
    <t>Esfuerzo o alcance del cambio</t>
  </si>
  <si>
    <t>Agregar un nuevo medio de pago toca 1 módulo y no altera contratos existentes</t>
  </si>
  <si>
    <t>"Debe ser fácil de mantener": no define qué cambio ni qué esfuerzo</t>
  </si>
  <si>
    <t>Ejercicio de cambio guiado sobre el código real</t>
  </si>
  <si>
    <t>Flexibilidad8</t>
  </si>
  <si>
    <t>Tiempo y forma del cambio en operación</t>
  </si>
  <si>
    <t>Nueva regla disponible en &lt;= 15 min sin redespliegue</t>
  </si>
  <si>
    <t>"Debe ser configurable": no dice qué se configura ni en cuánto tiempo</t>
  </si>
  <si>
    <t>Prueba de cambio en ambiente equivalente</t>
  </si>
  <si>
    <t>Compatibilidad3</t>
  </si>
  <si>
    <t>Interoperabilidad y versiones</t>
  </si>
  <si>
    <t>Consume la versión v2 del contrato sin romper clientes de v1 durante 6 meses</t>
  </si>
  <si>
    <t>"Debe integrarse con todo": no nombra sistemas ni contratos</t>
  </si>
  <si>
    <t>Pruebas de contrato entre versiones</t>
  </si>
  <si>
    <t>Capacidad de interacción4</t>
  </si>
  <si>
    <t>Accesibilidad y eficiencia de uso</t>
  </si>
  <si>
    <t>Cumple WCAG 2.2 nivel AA en los 5 flujos principales</t>
  </si>
  <si>
    <t>"Debe ser usable": no define criterio ni alcance</t>
  </si>
  <si>
    <t>Auditoría de accesibilidad y pruebas con usuarios</t>
  </si>
  <si>
    <t>Advertencias sobre las cifras</t>
  </si>
  <si>
    <t>Ningún número de esta hoja es un estándar. Son ejemplos de forma, no de valor.</t>
  </si>
  <si>
    <t>Un umbral se justifica con tres cosas: objetivo de negocio, dato de operación y acuerdo del stakeholder. Si le falta alguno, márquelo como supuesto.</t>
  </si>
  <si>
    <t>Prefiera percentiles (p95, p99) sobre promedios. El promedio esconde los casos que molestan al usuario.</t>
  </si>
  <si>
    <t>Toda medida necesita una ventana de tiempo. Un dato instantáneo no demuestra comportamiento.</t>
  </si>
  <si>
    <t>Escalas de priorización: solo dos ejes</t>
  </si>
  <si>
    <t>Valor de negocio (VN) e Impacto y dificultad arquitectónica (IA).</t>
  </si>
  <si>
    <t>Por qué solo dos ejes</t>
  </si>
  <si>
    <t>Cada eje adicional multiplica los juicios y no mejora la decisión. Con dos ejes se responde lo único que importa para ordenar el trabajo: cuánto vale acertar y cuánto cuesta equivocarse. El riesgo no es un tercer eje de priorización: el riesgo aparece después, cuando se evalúa la arquitectura y se descubre que una decisión no satisface un escenario.</t>
  </si>
  <si>
    <t>Valor de negocio (VN): qué pasa si no se cumple</t>
  </si>
  <si>
    <t>Nivel</t>
  </si>
  <si>
    <t>Descriptor observable</t>
  </si>
  <si>
    <t>Pregunta que lo confirma</t>
  </si>
  <si>
    <t>Incumplirlo compromete un objetivo estratégico, una obligación regulatoria o la continuidad del servicio principal.</t>
  </si>
  <si>
    <t>¿Alguien externo a TI escalaría el incumplimiento? ¿Hay sanción, pérdida de ingreso o riesgo para las personas?</t>
  </si>
  <si>
    <t>Incumplirlo degrada la calidad percibida o la eficiencia operativa, pero el negocio sigue funcionando.</t>
  </si>
  <si>
    <t>¿El negocio puede operar una semana así, con molestia pero sin daño?</t>
  </si>
  <si>
    <t>Incumplirlo genera una molestia local, contenida y con alternativa manual.</t>
  </si>
  <si>
    <t>¿Existe una forma de trabajo alterna que nadie considera inaceptable?</t>
  </si>
  <si>
    <t>Por validar</t>
  </si>
  <si>
    <t>No hay evidencia suficiente para asignar valor. El stakeholder aún no lo ha cuantificado.</t>
  </si>
  <si>
    <t>¿Puedo nombrar la fuente del valor? Si no, no invente el nivel.</t>
  </si>
  <si>
    <t>Impacto y dificultad arquitectónica (IA): qué tan costoso es cambiarlo</t>
  </si>
  <si>
    <t>Obliga a decidir sobre estructuras, contratos entre partes, tecnología base, distribución de datos o despliegue, y revertirlo es costoso.</t>
  </si>
  <si>
    <t>¿Corregir esto en seis meses implicaría rehacer más de un componente o renegociar un contrato de integración?</t>
  </si>
  <si>
    <t>Exige tácticas concretas, pero la decisión se localiza dentro de un componente o un contrato ya existente.</t>
  </si>
  <si>
    <t>¿Puedo cambiar de opinión sin tocar otros equipos ni otros módulos?</t>
  </si>
  <si>
    <t>Se resuelve dentro de un módulo, sin afectar contratos, datos compartidos ni despliegue.</t>
  </si>
  <si>
    <t>¿Esto lo resuelve una persona en su módulo sin coordinar con nadie?</t>
  </si>
  <si>
    <t>Falta información técnica para estimar el impacto. Requiere prototipo, medición o análisis previo.</t>
  </si>
  <si>
    <t>¿Puedo nombrar el elemento arquitectónico afectado? Si no, todavía no sé el impacto.</t>
  </si>
  <si>
    <t>Matriz de decisión: qué hacer con cada combinación</t>
  </si>
  <si>
    <t>VN \ IA</t>
  </si>
  <si>
    <t>IA Alta</t>
  </si>
  <si>
    <t>IA Media</t>
  </si>
  <si>
    <t>IA Baja</t>
  </si>
  <si>
    <t>VN Alta</t>
  </si>
  <si>
    <t>Prioridad 1: diseñar, prototipar y evaluar primero</t>
  </si>
  <si>
    <t>Prioridad 2: diseñar con cuidado, no bloquear el proyecto</t>
  </si>
  <si>
    <t>Prioridad 3: cumplir sin ceremonia arquitectónica</t>
  </si>
  <si>
    <t>VN Media</t>
  </si>
  <si>
    <t>Prioridad 2: decidir temprano aunque no urja</t>
  </si>
  <si>
    <t>Prioridad 3: documentar y seguir</t>
  </si>
  <si>
    <t>Probablemente no es ASR: revisar el dictamen</t>
  </si>
  <si>
    <t>VN Baja</t>
  </si>
  <si>
    <t>Prioridad 3: vigilar, puede volverse trampa técnica</t>
  </si>
  <si>
    <t>No es ASR: gestionar como requisito común</t>
  </si>
  <si>
    <t>Señal de alarma en la revisión: si todo su trabajo quedó en (Alta, Alta), no priorizó. Vuelva a leer los descriptores y compare los requisitos entre sí, no cada uno por separado.</t>
  </si>
  <si>
    <t>Universidad Católica de Colombia | Facultad de Ingeniería | Arquitectura de Software (CT10073) | Vigilada Mineducación</t>
  </si>
  <si>
    <t>Catálogos y fuentes</t>
  </si>
  <si>
    <t>Vocabulario controlado y trazabilidad bibliográfica.</t>
  </si>
  <si>
    <t>Tipos de requisito</t>
  </si>
  <si>
    <t>Tipo</t>
  </si>
  <si>
    <t>Qué es</t>
  </si>
  <si>
    <t>Ejemplo</t>
  </si>
  <si>
    <t>A dónde va si es ASR</t>
  </si>
  <si>
    <t>Un comportamiento o servicio que el sistema debe prestar.</t>
  </si>
  <si>
    <t>Evaluar el riesgo de fraude antes de autorizar una transferencia.</t>
  </si>
  <si>
    <t>Lista de funciones críticas (hoja 4)</t>
  </si>
  <si>
    <t>Una propiedad medible de cómo se comporta el sistema.</t>
  </si>
  <si>
    <t>p95 de respuesta bajo una carga definida.</t>
  </si>
  <si>
    <t>Utility Tree (hoja 3)</t>
  </si>
  <si>
    <t>Un límite obligatorio sobre la solución o el proceso. No se negocia.</t>
  </si>
  <si>
    <t>Almacenar datos solo en ubicaciones aprobadas.</t>
  </si>
  <si>
    <t>Catálogo de restricciones (hoja 4)</t>
  </si>
  <si>
    <t>Características de calidad ISO/IEC 25010:2023</t>
  </si>
  <si>
    <t>De qué se ocupa</t>
  </si>
  <si>
    <t>Subcaracterísticas usadas en el curso</t>
  </si>
  <si>
    <t>Al escribir la medida, no olvide</t>
  </si>
  <si>
    <t>Que las funciones cubran la necesidad.</t>
  </si>
  <si>
    <t>Completitud, correctitud, pertinencia</t>
  </si>
  <si>
    <t>Es vocabulario funcional: rara vez cuelga del árbol.</t>
  </si>
  <si>
    <t>Tiempo, recursos y capacidad.</t>
  </si>
  <si>
    <t>Comportamiento temporal, uso de recursos, capacidad</t>
  </si>
  <si>
    <t>Definir carga, percentil y ventana.</t>
  </si>
  <si>
    <t>Coexistencia e interoperabilidad.</t>
  </si>
  <si>
    <t>Coexistencia, interoperabilidad</t>
  </si>
  <si>
    <t>Nombrar sistemas y versiones de contrato.</t>
  </si>
  <si>
    <t>Interacción efectiva con las personas.</t>
  </si>
  <si>
    <t>Aprendizaje, operabilidad, accesibilidad</t>
  </si>
  <si>
    <t>Fijar criterio y alcance de flujos.</t>
  </si>
  <si>
    <t>Operar correctamente y recuperarse.</t>
  </si>
  <si>
    <t>Disponibilidad, tolerancia a fallos, recuperabilidad</t>
  </si>
  <si>
    <t>Definir periodo, RTO y RPO.</t>
  </si>
  <si>
    <t>Proteger información y operaciones.</t>
  </si>
  <si>
    <t>Confidencialidad, integridad, autenticidad, no repudio</t>
  </si>
  <si>
    <t>Nombrar amenaza, control y cobertura.</t>
  </si>
  <si>
    <t>Analizar y cambiar el producto.</t>
  </si>
  <si>
    <t>Modularidad, reusabilidad, capacidad de prueba</t>
  </si>
  <si>
    <t>Decir qué cambio y con cuánto esfuerzo.</t>
  </si>
  <si>
    <t>Adaptarse a variaciones de uso.</t>
  </si>
  <si>
    <t>Adaptabilidad, escalabilidad, instalabilidad</t>
  </si>
  <si>
    <t>Precisar el cambio esperado y su frecuencia.</t>
  </si>
  <si>
    <t>Seguridad operacional</t>
  </si>
  <si>
    <t>Evitar daño a personas, bienes o ambiente.</t>
  </si>
  <si>
    <t>Tolerancia a error de operación, integridad ante peligro</t>
  </si>
  <si>
    <t>No confundir con ciberseguridad.</t>
  </si>
  <si>
    <t>ISO/IEC 25010 aporta el vocabulario de calidad. Por sí sola no decide si un requisito es ASR: eso lo decide la evidencia de impacto arquitectónico.</t>
  </si>
  <si>
    <t>Vocabulario de elementos arquitectónicos afectados</t>
  </si>
  <si>
    <t>Elemento</t>
  </si>
  <si>
    <t>Ejemplo de decisión que aparece</t>
  </si>
  <si>
    <t>Una unidad de software con responsabilidad propia.</t>
  </si>
  <si>
    <t>Separar el catálogo de lectura del flujo transaccional.</t>
  </si>
  <si>
    <t>El camino por el que dos partes se comunican.</t>
  </si>
  <si>
    <t>Elegir integración síncrona o asíncrona y definir timeout.</t>
  </si>
  <si>
    <t>Contrato de API</t>
  </si>
  <si>
    <t>El acuerdo público entre proveedor y consumidor.</t>
  </si>
  <si>
    <t>Versionar el contrato y sostener compatibilidad.</t>
  </si>
  <si>
    <t>Dónde termina una responsabilidad y empieza otra.</t>
  </si>
  <si>
    <t>Mover la evaluación de riesgo fuera del dominio de pagos.</t>
  </si>
  <si>
    <t>Cómo se estructuran, replican y distribuyen los datos.</t>
  </si>
  <si>
    <t>Replicar en varias zonas y aceptar consistencia eventual.</t>
  </si>
  <si>
    <t>Una regla que aplica a todo el sistema.</t>
  </si>
  <si>
    <t>Aplicar controles de región como código.</t>
  </si>
  <si>
    <t>Dónde y cómo corre el sistema.</t>
  </si>
  <si>
    <t>Escalar horizontalmente y dimensionar capacidad.</t>
  </si>
  <si>
    <t>Una solución común que muchos usan.</t>
  </si>
  <si>
    <t>Crear un motor de reglas configurable.</t>
  </si>
  <si>
    <t>Fuentes técnicas</t>
  </si>
  <si>
    <t>Fuente</t>
  </si>
  <si>
    <t>Para qué se usa en esta matriz</t>
  </si>
  <si>
    <t>Referencia</t>
  </si>
  <si>
    <t>Bass, Clements y Kazman (2021). Software Architecture in Practice, 4a ed.</t>
  </si>
  <si>
    <t>Escenario de calidad de 6 partes, Utility Tree, tácticas.</t>
  </si>
  <si>
    <t>Addison-Wesley</t>
  </si>
  <si>
    <t>Cervantes y Kazman (2016). Designing Software Architectures.</t>
  </si>
  <si>
    <t>Distinción entre requisitos funcionales, atributos de calidad y restricciones como drivers.</t>
  </si>
  <si>
    <t>Kazman, Klein y Clements. ATAM: Method for Architecture Evaluation.</t>
  </si>
  <si>
    <t>Construcción y etiquetado del Utility Tree con el par (VN, IA).</t>
  </si>
  <si>
    <t>SEI, CMU/SEI-2000-TR-004</t>
  </si>
  <si>
    <t>SEI - Attribute-Driven Design (ADD)</t>
  </si>
  <si>
    <t>Diseño guiado por drivers de arquitectura.</t>
  </si>
  <si>
    <t>https://www.sei.cmu.edu/library/attribute-driven-design-method-collection/</t>
  </si>
  <si>
    <t>SEI - Quality Attribute Workshop (QAW)</t>
  </si>
  <si>
    <t>Obtención y priorización de escenarios con stakeholders.</t>
  </si>
  <si>
    <t>https://www.sei.cmu.edu/library/quality-attribute-workshop-collection/</t>
  </si>
  <si>
    <t>ISO/IEC 25010:2023</t>
  </si>
  <si>
    <t>Vocabulario del modelo de calidad del producto.</t>
  </si>
  <si>
    <t>https://www.iso.org/standard/78176.html</t>
  </si>
  <si>
    <t>ISO/IEC/IEEE 42010:2022</t>
  </si>
  <si>
    <t>Stakeholders, concerns y descripción de arquitectura.</t>
  </si>
  <si>
    <t>https://standards.ieee.org/ieee/42010/6846/</t>
  </si>
  <si>
    <t>Richards y Ford (2025). Fundamentals of Software Architecture, 2a ed.</t>
  </si>
  <si>
    <t>Características arquitectónicas y trade-offs.</t>
  </si>
  <si>
    <t>O'Reilly Media</t>
  </si>
  <si>
    <t>IREB CPRE Glossary</t>
  </si>
  <si>
    <t>Terminología de requisitos y restricciones.</t>
  </si>
  <si>
    <t>https://cpre.ireb.org/en/downloads-and-resources/glossary</t>
  </si>
  <si>
    <t>Las fuentes definen vocabulario y método. Las métricas, prioridades y dictámenes de un proyecto deben sustentarse con evidencia del contexto y acuerdo de los stakeholders.</t>
  </si>
  <si>
    <t>Leyenda y criterio de selección de ASRs</t>
  </si>
  <si>
    <t>Proyecto: Sistema de integridad documental con blockchain (Hyperledger Fabric + MongoDB)</t>
  </si>
  <si>
    <t>1. ¿Qué es un ASR en esta matriz?</t>
  </si>
  <si>
    <t>Un ASR (Architecturally Significant Requirement) es un requisito que, si cambia, obliga a cambiar la arquitectura. No todo requisito es ASR: debe poder demostrarse que afecta estructuras, contratos, tecnología, datos o despliegue, y que corregirlo tarde sería costoso. De los 55 RF y 30 RNF del documento se identificaron 27 ASRs (26 con dictamen Sí y 1 con dictamen No, incluido como ejemplo de contraste).</t>
  </si>
  <si>
    <t>2. Convenciones de la columna 'Tipo de requisito'</t>
  </si>
  <si>
    <t>Definición</t>
  </si>
  <si>
    <t>Enrutamiento si es ASR</t>
  </si>
  <si>
    <t>Un comportamiento o servicio que el sistema debe prestar y que obliga una decisión de arquitectura.</t>
  </si>
  <si>
    <t>Una propiedad medible de cómo se comporta el sistema (desempeño, seguridad, fiabilidad, etc.).</t>
  </si>
  <si>
    <t>Un límite obligatorio sobre la solución o el proceso. No se negocia, se acata.</t>
  </si>
  <si>
    <t>3. Convenciones de dictamen y priorización</t>
  </si>
  <si>
    <t>Dictamen</t>
  </si>
  <si>
    <t>Significado</t>
  </si>
  <si>
    <t>Se confirma como ASR: existe evidencia, medida verificable y afectación arquitectónica concreta.</t>
  </si>
  <si>
    <t>Es un requisito legítimo y medible, pero se resuelve dentro de un componente sin tocar estructuras, contratos ni despliegue.</t>
  </si>
  <si>
    <t>Falta evidencia, medida o fuente. Debe conseguirse antes de decidir.</t>
  </si>
  <si>
    <t>Alta: compromete objetivo estratégico, obligación regulatoria o continuidad del servicio.</t>
  </si>
  <si>
    <t>Alta: obliga a decidir sobre estructuras, contratos, tecnología base o despliegue. Revertirlo es costoso.</t>
  </si>
  <si>
    <t>Media: degrada calidad o eficiencia, pero el negocio sigue operando.</t>
  </si>
  <si>
    <t>Media: exige tácticas concretas, pero la decisión se localiza en un componente o contrato existente.</t>
  </si>
  <si>
    <t>Baja: molestia local con alternativa manual.</t>
  </si>
  <si>
    <t>Baja: se resuelve dentro de un módulo sin afectar contratos, datos compartidos ni despliegue.</t>
  </si>
  <si>
    <t>4. Resumen de ASRs identificados (27)</t>
  </si>
  <si>
    <t>Nombre corto</t>
  </si>
  <si>
    <t>RF/RNF cubiertos</t>
  </si>
  <si>
    <t>RF-002, RF-003, RF-004, RNF-002</t>
  </si>
  <si>
    <t>RF-054, RNF-006</t>
  </si>
  <si>
    <t>RF-005, RF-006, RNF-003</t>
  </si>
  <si>
    <t>RF-007, RNF-007</t>
  </si>
  <si>
    <t>RF-014, RF-015, RF-030, RNF-011</t>
  </si>
  <si>
    <t>RF-016, RNF-004, RNF-008</t>
  </si>
  <si>
    <t>RF-031, RF-032, RF-033, RF-034</t>
  </si>
  <si>
    <t>RF-022, RF-035, RF-040, RF-051, RNF-026, RNF-027</t>
  </si>
  <si>
    <t>RF-047, RNF-003</t>
  </si>
  <si>
    <t>RF-018, RF-021, RF-037, RF-039, RNF-009</t>
  </si>
  <si>
    <t>RNF-005, RNF-027</t>
  </si>
  <si>
    <t>RNF-014, RNF-028</t>
  </si>
  <si>
    <t>RNF-015, RNF-016, RNF-017, RNF-018</t>
  </si>
  <si>
    <t>RNF-019, RNF-020</t>
  </si>
  <si>
    <t>Alcance - RNF-004</t>
  </si>
  <si>
    <t>RF-014, RF-030</t>
  </si>
  <si>
    <t>RF-009, RF-010, RF-011, RNF-023, RNF-024</t>
  </si>
  <si>
    <t>RF-041, RF-042</t>
  </si>
  <si>
    <t>5. Requisitos que NO quedaron como ASR y por qué</t>
  </si>
  <si>
    <t>Un requisito legítimo deja de ser ASR cuando se resuelve dentro de un componente sin tocar estructuras, contratos, datos compartidos ni despliegue. A continuación, los agrupamientos.</t>
  </si>
  <si>
    <t>Grupo</t>
  </si>
  <si>
    <t>Requisitos</t>
  </si>
  <si>
    <t>Por qué no es ASR</t>
  </si>
  <si>
    <t>Operaciones CRUD y vistas estándar sobre documentos</t>
  </si>
  <si>
    <t>RF-013, RF-017, RF-018, RF-019, RF-020, RF-038, RF-048, RF-049, RF-050</t>
  </si>
  <si>
    <t xml:space="preserve">Son lecturas o escrituras ordinarias sobre MongoDB cuyo diseño ya quedó fijado por el ASR-07 (modelo de datos) y los ASRs de rendimiento (ASR-12) y RBAC (ASR-04). </t>
  </si>
  <si>
    <t>Flujos del rol Verificador y navegación</t>
  </si>
  <si>
    <t>RF-023, RF-024, RF-025, RF-026, RF-027, RF-028, RF-029, RF-036</t>
  </si>
  <si>
    <t xml:space="preserve">Son pasos de UI y rutas protegidas que se resuelven con el middleware de autorización (ASR-04), la validación de carga (ASR-24) y la comparación de hashes (ASR-08). </t>
  </si>
  <si>
    <t>Gestión administrativa de usuarios estándar</t>
  </si>
  <si>
    <t>RF-043, RF-044, RF-045, RF-046</t>
  </si>
  <si>
    <t>Son operaciones CRUD de usuarios sobre el modelo definido por el ASR-04 (RBAC) y el ASR-11 (baja lógica). El ciclo de vida completo ya quedó cubierto por esos dos.</t>
  </si>
  <si>
    <t>Gestión de credenciales por el usuario autenticado</t>
  </si>
  <si>
    <t>RF-052, RF-053</t>
  </si>
  <si>
    <t>El cambio de contraseña reutiliza el mecanismo de hashing (ASR-02) y el flujo de autenticación (ASR-01). No introduce nuevas decisiones.</t>
  </si>
  <si>
    <t>Dashboard administrativo (indicadores)</t>
  </si>
  <si>
    <t>RF-042 (parcial)</t>
  </si>
  <si>
    <t>Convertido en ASR-27 con dictamen 'No' como ejemplo de contraste: es medible y legítimo pero se resuelve con agregaciones en MongoDB.</t>
  </si>
  <si>
    <t>Comportamiento interno del asistente de carga</t>
  </si>
  <si>
    <t>RF-001, RF-008, RF-012</t>
  </si>
  <si>
    <t>El inicio de sesión queda cubierto por ASR-01 y RBAC. La carga y validación quedan cubiertas por ASR-06, ASR-07 y ASR-24.</t>
  </si>
  <si>
    <t>Alcance de evaluación y pruebas</t>
  </si>
  <si>
    <t>RNF-029</t>
  </si>
  <si>
    <t>Es una condición de evaluación del MVP, no una propiedad del sistema; no afecta estructuras ni contratos.</t>
  </si>
  <si>
    <t>6. Trazabilidad entre los requerimientos y la matriz</t>
  </si>
  <si>
    <t>De los 55 RF documentados, 27 quedaron mapeados directamente a algún ASR y los 28 restantes se consideran dependientes de los mecanismos ya definidos por los ASRs (ver punto 5).
De los 30 RNF, 25 quedaron mapeados a ASRs y 5 (RNF-022, RNF-025, RNF-029, RNF-016, RNF-018) se cubren indirectamente o quedan como condiciones de evaluación.
El resultado respeta la regla de la hoja 7: no todos los ASRs quedaron en Alta/Alta, y existe un dictamen No para probar que se aplicó el criterio de significancia arquitectónica.</t>
  </si>
  <si>
    <t>Pendiente</t>
  </si>
  <si>
    <t>7. Advertencias y supuestos</t>
  </si>
  <si>
    <t>Las cifras de las medidas (percentiles, segundos, porcentajes) se tomaron de los RNFs explícitos (RNF-009, RNF-010, RNF-012, RNF-014, RNF-015). Donde no había cifra explícita, el supuesto se ajustó al entorno Docker local del MVP y debe validarse con el director de tesis antes de la evaluación arquitectónica.</t>
  </si>
  <si>
    <t>El dictamen 'Sí' de cada ASR se sustenta en la columna 'Justificación del dictamen' de la hoja 1. El método de verificación se puede ejecutar sobre el MVP tal como fue definido en el documento de requerimientos.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</si>
</sst>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0"/>
      <color theme="1"/>
      <name val="Liberation Sans"/>
    </font>
    <font>
      <sz val="10"/>
      <color theme="1"/>
      <name val="Liberation Sans"/>
    </font>
    <font>
      <b/>
      <sz val="10"/>
      <color theme="1"/>
      <name val="Liberation Sans"/>
    </font>
    <font>
      <b/>
      <sz val="10"/>
      <color rgb="FFFFFFFF"/>
      <name val="Liberation Sans"/>
    </font>
    <font>
      <sz val="10"/>
      <color rgb="FFCC0000"/>
      <name val="Liberation Sans"/>
    </font>
    <font>
      <i/>
      <sz val="10"/>
      <color rgb="FF808080"/>
      <name val="Liberation Sans"/>
    </font>
    <font>
      <sz val="10"/>
      <color rgb="FF006600"/>
      <name val="Liberation Sans"/>
    </font>
    <font>
      <b/>
      <sz val="24"/>
      <color rgb="FF000000"/>
      <name val="Liberation Sans"/>
    </font>
    <font>
      <b/>
      <sz val="18"/>
      <color rgb="FF000000"/>
      <name val="Liberation Sans"/>
    </font>
    <font>
      <b/>
      <sz val="12"/>
      <color rgb="FF000000"/>
      <name val="Liberation Sans"/>
    </font>
    <font>
      <u/>
      <sz val="10"/>
      <color rgb="FF0000EE"/>
      <name val="Liberation Sans"/>
    </font>
    <font>
      <sz val="11"/>
      <color rgb="FF000000"/>
      <name val="Calibri"/>
      <family val="2"/>
    </font>
    <font>
      <sz val="10"/>
      <color rgb="FF333333"/>
      <name val="Liberation Sans"/>
    </font>
    <font>
      <sz val="10"/>
      <color rgb="FF996600"/>
      <name val="Liberation Sans"/>
    </font>
    <font>
      <b/>
      <i/>
      <u/>
      <sz val="10"/>
      <color theme="1"/>
      <name val="Liberation Sans"/>
    </font>
    <font>
      <b/>
      <sz val="16"/>
      <color rgb="FF26306A"/>
      <name val="Tahoma"/>
      <family val="2"/>
    </font>
    <font>
      <sz val="9"/>
      <color rgb="FF0067AD"/>
      <name val="Tahoma"/>
      <family val="2"/>
    </font>
    <font>
      <b/>
      <sz val="10"/>
      <color rgb="FFFFFFFF"/>
      <name val="Tahoma"/>
      <family val="2"/>
    </font>
    <font>
      <sz val="10"/>
      <color theme="1"/>
      <name val="Tahoma"/>
      <family val="2"/>
    </font>
    <font>
      <b/>
      <sz val="9"/>
      <color rgb="FFFFFFFF"/>
      <name val="Tahoma"/>
      <family val="2"/>
    </font>
    <font>
      <b/>
      <sz val="9"/>
      <color rgb="FF0067AD"/>
      <name val="Tahoma"/>
      <family val="2"/>
    </font>
    <font>
      <sz val="9"/>
      <color theme="1"/>
      <name val="Tahoma"/>
      <family val="2"/>
    </font>
    <font>
      <b/>
      <sz val="9"/>
      <color rgb="FF26306A"/>
      <name val="Tahoma"/>
      <family val="2"/>
    </font>
    <font>
      <i/>
      <sz val="8"/>
      <color rgb="FF595959"/>
      <name val="Tahoma"/>
      <family val="2"/>
    </font>
    <font>
      <sz val="7"/>
      <color rgb="FF26306A"/>
      <name val="Tahoma"/>
      <family val="2"/>
    </font>
    <font>
      <sz val="8"/>
      <color theme="1"/>
      <name val="Tahoma"/>
      <family val="2"/>
    </font>
    <font>
      <b/>
      <sz val="8"/>
      <color rgb="FF26306A"/>
      <name val="Tahoma"/>
      <family val="2"/>
    </font>
    <font>
      <u/>
      <sz val="9"/>
      <color theme="1"/>
      <name val="Tahoma"/>
      <family val="2"/>
    </font>
    <font>
      <sz val="8"/>
      <color rgb="FF0067AD"/>
      <name val="Tahoma"/>
      <family val="2"/>
    </font>
  </fonts>
  <fills count="21">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0B61B"/>
        <bgColor rgb="FFF0B61B"/>
      </patternFill>
    </fill>
    <fill>
      <patternFill patternType="solid">
        <fgColor rgb="FF0067AD"/>
        <bgColor rgb="FF0067AD"/>
      </patternFill>
    </fill>
    <fill>
      <patternFill patternType="solid">
        <fgColor rgb="FFE6F0F9"/>
        <bgColor rgb="FFE6F0F9"/>
      </patternFill>
    </fill>
    <fill>
      <patternFill patternType="solid">
        <fgColor rgb="FFFDF3D7"/>
        <bgColor rgb="FFFDF3D7"/>
      </patternFill>
    </fill>
    <fill>
      <patternFill patternType="solid">
        <fgColor rgb="FF26306A"/>
        <bgColor rgb="FF26306A"/>
      </patternFill>
    </fill>
    <fill>
      <patternFill patternType="solid">
        <fgColor rgb="FFFFFFFF"/>
        <bgColor rgb="FFFFFFFF"/>
      </patternFill>
    </fill>
    <fill>
      <patternFill patternType="solid">
        <fgColor rgb="FFF2F2F2"/>
        <bgColor rgb="FFF2F2F2"/>
      </patternFill>
    </fill>
    <fill>
      <patternFill patternType="solid">
        <fgColor rgb="FF595959"/>
        <bgColor rgb="FF595959"/>
      </patternFill>
    </fill>
    <fill>
      <patternFill patternType="solid">
        <fgColor theme="3" tint="0.749992370372631"/>
        <bgColor indexed="64"/>
      </patternFill>
    </fill>
    <fill>
      <patternFill patternType="solid">
        <fgColor theme="0"/>
        <bgColor indexed="64"/>
      </patternFill>
    </fill>
    <fill>
      <patternFill patternType="solid">
        <fgColor theme="5" tint="0.79998168889431442"/>
        <bgColor indexed="64"/>
      </patternFill>
    </fill>
    <fill>
      <patternFill patternType="solid">
        <fgColor theme="4" tint="0.79998168889431442"/>
        <bgColor indexed="64"/>
      </patternFill>
    </fill>
  </fills>
  <borders count="6">
    <border>
      <left/>
      <right/>
      <top/>
      <bottom/>
      <diagonal/>
    </border>
    <border>
      <left style="thin">
        <color rgb="FF808080"/>
      </left>
      <right style="thin">
        <color rgb="FF808080"/>
      </right>
      <top style="thin">
        <color rgb="FF808080"/>
      </top>
      <bottom style="thin">
        <color rgb="FF808080"/>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22">
    <xf numFmtId="0" fontId="0" fillId="0" borderId="0"/>
    <xf numFmtId="0" fontId="13" fillId="8" borderId="0" applyNumberFormat="0" applyBorder="0" applyProtection="0"/>
    <xf numFmtId="0" fontId="2" fillId="0" borderId="0" applyNumberFormat="0" applyFill="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4" fillId="5" borderId="0" applyNumberFormat="0" applyBorder="0" applyProtection="0"/>
    <xf numFmtId="0" fontId="1" fillId="0" borderId="0" applyNumberFormat="0" applyFont="0" applyFill="0" applyBorder="0" applyAlignment="0" applyProtection="0"/>
    <xf numFmtId="0" fontId="3" fillId="6" borderId="0" applyNumberFormat="0" applyBorder="0" applyProtection="0"/>
    <xf numFmtId="0" fontId="5" fillId="0" borderId="0" applyNumberFormat="0" applyFill="0" applyBorder="0" applyProtection="0"/>
    <xf numFmtId="0" fontId="6" fillId="7" borderId="0" applyNumberFormat="0" applyBorder="0" applyProtection="0"/>
    <xf numFmtId="0" fontId="7" fillId="0" borderId="0" applyNumberFormat="0" applyFill="0" applyBorder="0" applyProtection="0"/>
    <xf numFmtId="0" fontId="8" fillId="0" borderId="0" applyNumberFormat="0" applyFill="0" applyBorder="0" applyProtection="0"/>
    <xf numFmtId="0" fontId="9" fillId="0" borderId="0" applyNumberFormat="0" applyFill="0" applyBorder="0" applyProtection="0"/>
    <xf numFmtId="0" fontId="10" fillId="0" borderId="0" applyNumberFormat="0" applyFill="0" applyBorder="0" applyProtection="0"/>
    <xf numFmtId="0" fontId="11" fillId="0" borderId="0" applyNumberFormat="0" applyBorder="0" applyProtection="0"/>
    <xf numFmtId="0" fontId="12" fillId="8" borderId="1" applyNumberFormat="0" applyProtection="0"/>
    <xf numFmtId="0" fontId="12" fillId="8" borderId="1" applyNumberFormat="0" applyProtection="0"/>
    <xf numFmtId="0" fontId="14" fillId="0" borderId="0" applyNumberFormat="0" applyFill="0" applyBorder="0" applyProtection="0"/>
    <xf numFmtId="0" fontId="1" fillId="0" borderId="0" applyNumberFormat="0" applyFont="0" applyFill="0" applyBorder="0" applyProtection="0"/>
    <xf numFmtId="0" fontId="1" fillId="0" borderId="0" applyNumberFormat="0" applyFont="0" applyFill="0" applyBorder="0" applyProtection="0"/>
    <xf numFmtId="0" fontId="4" fillId="0" borderId="0" applyNumberFormat="0" applyFill="0" applyBorder="0" applyProtection="0"/>
  </cellStyleXfs>
  <cellXfs count="59">
    <xf numFmtId="0" fontId="0" fillId="0" borderId="0" xfId="0"/>
    <xf numFmtId="0" fontId="0" fillId="0" borderId="0" xfId="7" applyFont="1"/>
    <xf numFmtId="0" fontId="15" fillId="0" borderId="0" xfId="7" applyFont="1" applyAlignment="1">
      <alignment vertical="center"/>
    </xf>
    <xf numFmtId="0" fontId="16" fillId="0" borderId="0" xfId="7" applyFont="1"/>
    <xf numFmtId="0" fontId="0" fillId="9" borderId="0" xfId="7" applyFont="1" applyFill="1"/>
    <xf numFmtId="0" fontId="17" fillId="10" borderId="0" xfId="7" applyFont="1" applyFill="1" applyAlignment="1">
      <alignment horizontal="left" vertical="center" indent="1"/>
    </xf>
    <xf numFmtId="0" fontId="0" fillId="10" borderId="0" xfId="7" applyFont="1" applyFill="1"/>
    <xf numFmtId="0" fontId="19" fillId="13" borderId="2" xfId="7" applyFont="1" applyFill="1" applyBorder="1" applyAlignment="1">
      <alignment horizontal="center" vertical="center" wrapText="1"/>
    </xf>
    <xf numFmtId="0" fontId="20" fillId="0" borderId="2" xfId="7" applyFont="1" applyBorder="1" applyAlignment="1">
      <alignment horizontal="center" vertical="top" wrapText="1"/>
    </xf>
    <xf numFmtId="0" fontId="21" fillId="0" borderId="2" xfId="7" applyFont="1" applyBorder="1" applyAlignment="1">
      <alignment horizontal="left" vertical="top" wrapText="1"/>
    </xf>
    <xf numFmtId="0" fontId="22" fillId="0" borderId="2" xfId="7" applyFont="1" applyBorder="1" applyAlignment="1">
      <alignment horizontal="left" vertical="top" wrapText="1"/>
    </xf>
    <xf numFmtId="0" fontId="21" fillId="14" borderId="2" xfId="7" applyFont="1" applyFill="1" applyBorder="1" applyAlignment="1">
      <alignment horizontal="left" vertical="top" wrapText="1"/>
    </xf>
    <xf numFmtId="0" fontId="21" fillId="15" borderId="2" xfId="7" applyFont="1" applyFill="1" applyBorder="1" applyAlignment="1">
      <alignment horizontal="left" vertical="top" wrapText="1"/>
    </xf>
    <xf numFmtId="0" fontId="21" fillId="11" borderId="2" xfId="7" applyFont="1" applyFill="1" applyBorder="1" applyAlignment="1">
      <alignment horizontal="left" vertical="top" wrapText="1"/>
    </xf>
    <xf numFmtId="0" fontId="21" fillId="12" borderId="2" xfId="7" applyFont="1" applyFill="1" applyBorder="1" applyAlignment="1">
      <alignment horizontal="left" vertical="top" wrapText="1"/>
    </xf>
    <xf numFmtId="0" fontId="24" fillId="0" borderId="0" xfId="7" applyFont="1"/>
    <xf numFmtId="0" fontId="19" fillId="16" borderId="2" xfId="7" applyFont="1" applyFill="1" applyBorder="1" applyAlignment="1">
      <alignment horizontal="center" vertical="center" wrapText="1"/>
    </xf>
    <xf numFmtId="0" fontId="25" fillId="11" borderId="2" xfId="7" applyFont="1" applyFill="1" applyBorder="1" applyAlignment="1">
      <alignment horizontal="center" vertical="center" wrapText="1"/>
    </xf>
    <xf numFmtId="0" fontId="26" fillId="15" borderId="2" xfId="7" applyFont="1" applyFill="1" applyBorder="1" applyAlignment="1">
      <alignment horizontal="center" vertical="center" wrapText="1"/>
    </xf>
    <xf numFmtId="0" fontId="25" fillId="15" borderId="2" xfId="7" applyFont="1" applyFill="1" applyBorder="1" applyAlignment="1">
      <alignment horizontal="center" vertical="center" wrapText="1"/>
    </xf>
    <xf numFmtId="0" fontId="26" fillId="15" borderId="2" xfId="7" applyFont="1" applyFill="1" applyBorder="1" applyAlignment="1">
      <alignment horizontal="left" vertical="top" wrapText="1"/>
    </xf>
    <xf numFmtId="0" fontId="25" fillId="15" borderId="2" xfId="7" applyFont="1" applyFill="1" applyBorder="1" applyAlignment="1">
      <alignment horizontal="center" vertical="top" wrapText="1"/>
    </xf>
    <xf numFmtId="0" fontId="25" fillId="14" borderId="2" xfId="7" applyFont="1" applyFill="1" applyBorder="1" applyAlignment="1">
      <alignment horizontal="center" vertical="center" wrapText="1"/>
    </xf>
    <xf numFmtId="0" fontId="21" fillId="0" borderId="2" xfId="7" applyFont="1" applyBorder="1" applyAlignment="1">
      <alignment horizontal="center" vertical="top" wrapText="1"/>
    </xf>
    <xf numFmtId="0" fontId="25" fillId="15" borderId="2" xfId="7" applyFont="1" applyFill="1" applyBorder="1" applyAlignment="1">
      <alignment horizontal="left" vertical="top" wrapText="1"/>
    </xf>
    <xf numFmtId="0" fontId="21" fillId="0" borderId="2" xfId="7" applyFont="1" applyBorder="1" applyAlignment="1">
      <alignment horizontal="center" vertical="center" wrapText="1"/>
    </xf>
    <xf numFmtId="0" fontId="21" fillId="15" borderId="2" xfId="7" applyFont="1" applyFill="1" applyBorder="1" applyAlignment="1">
      <alignment horizontal="center" vertical="top" wrapText="1"/>
    </xf>
    <xf numFmtId="0" fontId="22" fillId="15" borderId="2" xfId="7" applyFont="1" applyFill="1" applyBorder="1" applyAlignment="1">
      <alignment horizontal="center" vertical="top" wrapText="1"/>
    </xf>
    <xf numFmtId="0" fontId="27" fillId="15" borderId="2" xfId="7" applyFont="1" applyFill="1" applyBorder="1" applyAlignment="1">
      <alignment horizontal="left" vertical="top" wrapText="1"/>
    </xf>
    <xf numFmtId="0" fontId="1" fillId="0" borderId="0" xfId="7"/>
    <xf numFmtId="0" fontId="23" fillId="0" borderId="0" xfId="7" applyFont="1" applyAlignment="1">
      <alignment vertical="top" wrapText="1"/>
    </xf>
    <xf numFmtId="0" fontId="21" fillId="13" borderId="2" xfId="7" applyFont="1" applyFill="1" applyBorder="1" applyAlignment="1">
      <alignment horizontal="left" vertical="top" wrapText="1"/>
    </xf>
    <xf numFmtId="0" fontId="19" fillId="10" borderId="2" xfId="7" applyFont="1" applyFill="1" applyBorder="1" applyAlignment="1">
      <alignment horizontal="center" vertical="top" wrapText="1"/>
    </xf>
    <xf numFmtId="0" fontId="1" fillId="0" borderId="4" xfId="7" applyBorder="1"/>
    <xf numFmtId="0" fontId="1" fillId="0" borderId="0" xfId="7" applyBorder="1"/>
    <xf numFmtId="0" fontId="1" fillId="0" borderId="4" xfId="7" applyBorder="1" applyAlignment="1">
      <alignment horizontal="center"/>
    </xf>
    <xf numFmtId="0" fontId="1" fillId="0" borderId="0" xfId="7" applyAlignment="1">
      <alignment wrapText="1"/>
    </xf>
    <xf numFmtId="0" fontId="1" fillId="18" borderId="0" xfId="7" applyFill="1" applyBorder="1" applyAlignment="1">
      <alignment wrapText="1"/>
    </xf>
    <xf numFmtId="0" fontId="1" fillId="0" borderId="0" xfId="7" applyAlignment="1">
      <alignment horizontal="center" wrapText="1"/>
    </xf>
    <xf numFmtId="0" fontId="2" fillId="17" borderId="0" xfId="7" applyFont="1" applyFill="1"/>
    <xf numFmtId="0" fontId="2" fillId="17" borderId="4" xfId="7" applyFont="1" applyFill="1" applyBorder="1"/>
    <xf numFmtId="0" fontId="1" fillId="19" borderId="4" xfId="7" applyFill="1" applyBorder="1" applyAlignment="1">
      <alignment horizontal="center" wrapText="1"/>
    </xf>
    <xf numFmtId="0" fontId="2" fillId="20" borderId="4" xfId="7" applyFont="1" applyFill="1" applyBorder="1" applyAlignment="1">
      <alignment horizontal="center"/>
    </xf>
    <xf numFmtId="0" fontId="1" fillId="0" borderId="5" xfId="7" applyBorder="1" applyAlignment="1">
      <alignment horizontal="center" vertical="center" wrapText="1"/>
    </xf>
    <xf numFmtId="0" fontId="1" fillId="0" borderId="0" xfId="7" applyBorder="1" applyAlignment="1">
      <alignment vertical="center" wrapText="1"/>
    </xf>
    <xf numFmtId="0" fontId="2" fillId="18" borderId="0" xfId="7" applyFont="1" applyFill="1" applyBorder="1" applyAlignment="1"/>
    <xf numFmtId="0" fontId="2" fillId="17" borderId="4" xfId="7" applyFont="1" applyFill="1" applyBorder="1" applyAlignment="1"/>
    <xf numFmtId="0" fontId="2" fillId="20" borderId="4" xfId="7" applyFont="1" applyFill="1" applyBorder="1" applyAlignment="1">
      <alignment horizontal="center"/>
    </xf>
    <xf numFmtId="0" fontId="1" fillId="0" borderId="4" xfId="7" applyBorder="1" applyAlignment="1">
      <alignment horizontal="left"/>
    </xf>
    <xf numFmtId="0" fontId="2" fillId="17" borderId="4" xfId="7" applyFont="1" applyFill="1" applyBorder="1" applyAlignment="1">
      <alignment horizontal="left"/>
    </xf>
    <xf numFmtId="0" fontId="2" fillId="17" borderId="0" xfId="7" applyFont="1" applyFill="1" applyAlignment="1">
      <alignment horizontal="left"/>
    </xf>
    <xf numFmtId="0" fontId="19" fillId="10" borderId="2" xfId="7" applyFont="1" applyFill="1" applyBorder="1" applyAlignment="1">
      <alignment horizontal="center" vertical="center"/>
    </xf>
    <xf numFmtId="0" fontId="21" fillId="0" borderId="2" xfId="7" applyFont="1" applyFill="1" applyBorder="1" applyAlignment="1">
      <alignment horizontal="left" vertical="top" wrapText="1"/>
    </xf>
    <xf numFmtId="0" fontId="18" fillId="11" borderId="2" xfId="7" applyFont="1" applyFill="1" applyBorder="1" applyAlignment="1">
      <alignment horizontal="left" vertical="top" wrapText="1"/>
    </xf>
    <xf numFmtId="0" fontId="23" fillId="0" borderId="0" xfId="7" applyFont="1" applyAlignment="1">
      <alignment horizontal="center" vertical="top" wrapText="1"/>
    </xf>
    <xf numFmtId="0" fontId="19" fillId="13" borderId="2" xfId="7" applyFont="1" applyFill="1" applyBorder="1" applyAlignment="1">
      <alignment horizontal="center" vertical="center" wrapText="1"/>
    </xf>
    <xf numFmtId="0" fontId="21" fillId="12" borderId="2" xfId="7" applyFont="1" applyFill="1" applyBorder="1" applyAlignment="1">
      <alignment horizontal="left" vertical="top" wrapText="1"/>
    </xf>
    <xf numFmtId="0" fontId="28" fillId="0" borderId="2" xfId="7" applyFont="1" applyFill="1" applyBorder="1" applyAlignment="1">
      <alignment horizontal="left" vertical="top" wrapText="1"/>
    </xf>
    <xf numFmtId="0" fontId="23" fillId="0" borderId="3" xfId="7" applyFont="1" applyFill="1" applyBorder="1" applyAlignment="1">
      <alignment horizontal="center" vertical="top" wrapText="1"/>
    </xf>
  </cellXfs>
  <cellStyles count="22">
    <cellStyle name="Accent" xfId="2" xr:uid="{40EE8D01-E7AC-4B4B-8696-B2CDC6BAFE17}"/>
    <cellStyle name="Accent 1" xfId="3" xr:uid="{B6FBF91E-2CAA-44F0-AF98-CED8B084CBDB}"/>
    <cellStyle name="Accent 2" xfId="4" xr:uid="{2FA4DCCC-164B-45C4-BF40-E4FB1837F64F}"/>
    <cellStyle name="Accent 3" xfId="5" xr:uid="{120F69C7-CBA9-46B8-9A27-FF17F295E0C5}"/>
    <cellStyle name="Bad" xfId="6" xr:uid="{B567F429-99C2-488D-BA06-70E0CEFBD0F4}"/>
    <cellStyle name="Default" xfId="7" xr:uid="{63ED5132-46A0-4F40-AC6B-A86AAA78079B}"/>
    <cellStyle name="Error" xfId="8" xr:uid="{7E96F545-18A8-417F-97EE-6E6578653A8D}"/>
    <cellStyle name="Footnote" xfId="9" xr:uid="{43AEFF91-0E67-47AB-BAA4-252387FDD667}"/>
    <cellStyle name="Good" xfId="10" xr:uid="{D34FD51A-1AB3-4B8E-B043-5A0FCE28DD90}"/>
    <cellStyle name="Heading" xfId="11" xr:uid="{285E0686-8C11-46FB-8017-83D737C359A6}"/>
    <cellStyle name="Heading 1" xfId="12" xr:uid="{11C52A86-A177-4812-BBFA-F62E6B09777E}"/>
    <cellStyle name="Heading 2" xfId="13" xr:uid="{4E732EA1-3EA2-433E-8FDA-C113F6E93C67}"/>
    <cellStyle name="Hyperlink" xfId="14" xr:uid="{7C93C292-7470-4FE3-B5C8-703ED820A602}"/>
    <cellStyle name="MDefault" xfId="15" xr:uid="{FAE1D4FD-8B02-409B-B988-C1EFF20C1F76}"/>
    <cellStyle name="MNote" xfId="16" xr:uid="{7EE5AF4F-F4B0-40ED-89DE-8432E2CFD086}"/>
    <cellStyle name="Neutral" xfId="1" builtinId="28" customBuiltin="1"/>
    <cellStyle name="Normal" xfId="0" builtinId="0" customBuiltin="1"/>
    <cellStyle name="Note" xfId="17" xr:uid="{01D9B9F8-3036-4703-9388-FE8BCACF47E5}"/>
    <cellStyle name="Result" xfId="18" xr:uid="{90A93093-2644-4A58-94D4-16749D1B3D8B}"/>
    <cellStyle name="Status" xfId="19" xr:uid="{C490415F-363E-4D84-A51B-B410AF2D7962}"/>
    <cellStyle name="Text" xfId="20" xr:uid="{C6F3F7BC-5A00-4298-8FB5-160C0107CFAC}"/>
    <cellStyle name="Warning" xfId="21" xr:uid="{06E97AE0-1D81-4B0E-9208-0FB1441BBF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88918-9D8D-4C21-B62A-A9F519219871}">
  <sheetPr>
    <tabColor rgb="FF0067AD"/>
  </sheetPr>
  <dimension ref="A1:X46"/>
  <sheetViews>
    <sheetView topLeftCell="L1" workbookViewId="0">
      <selection activeCell="F9" sqref="F9"/>
    </sheetView>
  </sheetViews>
  <sheetFormatPr defaultColWidth="8.42578125" defaultRowHeight="14.45"/>
  <cols>
    <col min="1" max="1" width="8.7109375" style="1" customWidth="1"/>
    <col min="2" max="2" width="28.7109375" style="1" customWidth="1"/>
    <col min="3" max="3" width="25.7109375" style="1" customWidth="1"/>
    <col min="4" max="4" width="21.42578125" style="1" customWidth="1"/>
    <col min="5" max="5" width="11.140625" style="1" customWidth="1"/>
    <col min="6" max="6" width="40.7109375" style="1" customWidth="1"/>
    <col min="7" max="8" width="17.42578125" style="1" customWidth="1"/>
    <col min="9" max="9" width="19.7109375" style="1" customWidth="1"/>
    <col min="10" max="10" width="25" style="1" customWidth="1"/>
    <col min="11" max="11" width="28.28515625" style="1" customWidth="1"/>
    <col min="12" max="12" width="19.42578125" style="1" customWidth="1"/>
    <col min="13" max="13" width="31" style="1" customWidth="1"/>
    <col min="14" max="14" width="29.140625" style="1" customWidth="1"/>
    <col min="15" max="15" width="19.28515625" style="1" customWidth="1"/>
    <col min="16" max="16" width="30" style="1" customWidth="1"/>
    <col min="17" max="17" width="10.140625" style="1" customWidth="1"/>
    <col min="18" max="18" width="15.28515625" style="1" customWidth="1"/>
    <col min="19" max="19" width="8.85546875" style="1" customWidth="1"/>
    <col min="20" max="20" width="37.28515625" style="1" customWidth="1"/>
    <col min="21" max="21" width="32.28515625" style="1" customWidth="1"/>
    <col min="22" max="22" width="17.42578125" style="1" customWidth="1"/>
    <col min="23" max="23" width="25.28515625" style="1" customWidth="1"/>
    <col min="24" max="24" width="11.7109375" style="1" customWidth="1"/>
    <col min="25" max="25" width="8.42578125" style="1" customWidth="1"/>
    <col min="26" max="16384" width="8.42578125" style="1"/>
  </cols>
  <sheetData>
    <row r="1" spans="1:24" ht="25.5" customHeight="1">
      <c r="B1" s="2" t="s">
        <v>0</v>
      </c>
    </row>
    <row r="2" spans="1:24" customFormat="1" ht="3.75" customHeight="1">
      <c r="A2" s="1"/>
      <c r="B2" s="4"/>
      <c r="C2" s="4"/>
      <c r="D2" s="4"/>
      <c r="E2" s="4"/>
      <c r="F2" s="4"/>
      <c r="G2" s="4"/>
      <c r="H2" s="1"/>
      <c r="I2" s="1"/>
      <c r="J2" s="1"/>
      <c r="K2" s="1"/>
      <c r="L2" s="1"/>
      <c r="M2" s="1"/>
      <c r="N2" s="1"/>
      <c r="O2" s="1"/>
      <c r="P2" s="1"/>
      <c r="Q2" s="1"/>
      <c r="R2" s="1"/>
      <c r="S2" s="1"/>
      <c r="T2" s="1"/>
      <c r="U2" s="1"/>
      <c r="V2" s="1"/>
      <c r="W2" s="1"/>
      <c r="X2" s="1"/>
    </row>
    <row r="3" spans="1:24" customFormat="1" ht="13.5" customHeight="1">
      <c r="A3" s="1"/>
      <c r="B3" s="1"/>
      <c r="C3" s="1"/>
      <c r="D3" s="1"/>
      <c r="E3" s="1"/>
      <c r="F3" s="1"/>
      <c r="G3" s="1"/>
      <c r="H3" s="1"/>
      <c r="I3" s="1"/>
      <c r="J3" s="1"/>
      <c r="K3" s="1"/>
      <c r="L3" s="1"/>
      <c r="M3" s="1"/>
      <c r="N3" s="1"/>
      <c r="O3" s="1"/>
      <c r="P3" s="1"/>
      <c r="Q3" s="1"/>
      <c r="R3" s="1"/>
      <c r="S3" s="1"/>
      <c r="T3" s="1"/>
      <c r="U3" s="1"/>
      <c r="V3" s="1"/>
      <c r="W3" s="1"/>
      <c r="X3" s="1"/>
    </row>
    <row r="4" spans="1:24" customFormat="1" ht="13.15">
      <c r="A4" s="1"/>
      <c r="B4" s="1"/>
      <c r="C4" s="1"/>
      <c r="D4" s="1"/>
      <c r="E4" s="1"/>
      <c r="F4" s="1"/>
      <c r="G4" s="1"/>
      <c r="H4" s="1"/>
      <c r="I4" s="1"/>
      <c r="J4" s="1"/>
      <c r="K4" s="1"/>
      <c r="L4" s="1"/>
      <c r="M4" s="1"/>
      <c r="N4" s="1"/>
      <c r="O4" s="1"/>
      <c r="P4" s="1"/>
      <c r="Q4" s="1"/>
      <c r="R4" s="1"/>
      <c r="S4" s="1"/>
      <c r="T4" s="1"/>
      <c r="U4" s="1"/>
      <c r="V4" s="1"/>
      <c r="W4" s="1"/>
      <c r="X4" s="1"/>
    </row>
    <row r="5" spans="1:24" customFormat="1" ht="18" customHeight="1">
      <c r="A5" s="51" t="s">
        <v>1</v>
      </c>
      <c r="B5" s="51"/>
      <c r="C5" s="51"/>
      <c r="D5" s="51"/>
      <c r="E5" s="51" t="s">
        <v>2</v>
      </c>
      <c r="F5" s="51"/>
      <c r="G5" s="51"/>
      <c r="H5" s="51"/>
      <c r="I5" s="51" t="s">
        <v>3</v>
      </c>
      <c r="J5" s="51"/>
      <c r="K5" s="51"/>
      <c r="L5" s="51"/>
      <c r="M5" s="51"/>
      <c r="N5" s="51"/>
      <c r="O5" s="51" t="s">
        <v>4</v>
      </c>
      <c r="P5" s="51"/>
      <c r="Q5" s="51" t="s">
        <v>5</v>
      </c>
      <c r="R5" s="51"/>
      <c r="S5" s="51" t="s">
        <v>6</v>
      </c>
      <c r="T5" s="51"/>
      <c r="U5" s="51"/>
      <c r="V5" s="51"/>
      <c r="W5" s="51" t="s">
        <v>7</v>
      </c>
      <c r="X5" s="51"/>
    </row>
    <row r="6" spans="1:24" customFormat="1" ht="45.75" customHeight="1">
      <c r="A6" s="7" t="s">
        <v>8</v>
      </c>
      <c r="B6" s="7" t="s">
        <v>9</v>
      </c>
      <c r="C6" s="7" t="s">
        <v>10</v>
      </c>
      <c r="D6" s="7" t="s">
        <v>11</v>
      </c>
      <c r="E6" s="7" t="s">
        <v>12</v>
      </c>
      <c r="F6" s="7" t="s">
        <v>13</v>
      </c>
      <c r="G6" s="7" t="s">
        <v>14</v>
      </c>
      <c r="H6" s="7" t="s">
        <v>15</v>
      </c>
      <c r="I6" s="7" t="s">
        <v>16</v>
      </c>
      <c r="J6" s="7" t="s">
        <v>17</v>
      </c>
      <c r="K6" s="7" t="s">
        <v>18</v>
      </c>
      <c r="L6" s="7" t="s">
        <v>19</v>
      </c>
      <c r="M6" s="7" t="s">
        <v>20</v>
      </c>
      <c r="N6" s="7" t="s">
        <v>21</v>
      </c>
      <c r="O6" s="7" t="s">
        <v>22</v>
      </c>
      <c r="P6" s="7" t="s">
        <v>23</v>
      </c>
      <c r="Q6" s="7" t="s">
        <v>24</v>
      </c>
      <c r="R6" s="7" t="s">
        <v>25</v>
      </c>
      <c r="S6" s="7" t="s">
        <v>26</v>
      </c>
      <c r="T6" s="7" t="s">
        <v>27</v>
      </c>
      <c r="U6" s="7" t="s">
        <v>28</v>
      </c>
      <c r="V6" s="7" t="s">
        <v>1</v>
      </c>
      <c r="W6" s="16" t="s">
        <v>29</v>
      </c>
      <c r="X6" s="16" t="s">
        <v>30</v>
      </c>
    </row>
    <row r="7" spans="1:24" customFormat="1" ht="53.25" customHeight="1">
      <c r="A7" s="17" t="s">
        <v>31</v>
      </c>
      <c r="B7" s="17" t="s">
        <v>32</v>
      </c>
      <c r="C7" s="17" t="s">
        <v>33</v>
      </c>
      <c r="D7" s="17" t="s">
        <v>34</v>
      </c>
      <c r="E7" s="17" t="s">
        <v>35</v>
      </c>
      <c r="F7" s="17" t="s">
        <v>36</v>
      </c>
      <c r="G7" s="17" t="s">
        <v>37</v>
      </c>
      <c r="H7" s="17" t="s">
        <v>38</v>
      </c>
      <c r="I7" s="17" t="s">
        <v>39</v>
      </c>
      <c r="J7" s="17" t="s">
        <v>40</v>
      </c>
      <c r="K7" s="17" t="s">
        <v>41</v>
      </c>
      <c r="L7" s="17" t="s">
        <v>42</v>
      </c>
      <c r="M7" s="17" t="s">
        <v>43</v>
      </c>
      <c r="N7" s="17" t="s">
        <v>44</v>
      </c>
      <c r="O7" s="17" t="s">
        <v>45</v>
      </c>
      <c r="P7" s="17" t="s">
        <v>46</v>
      </c>
      <c r="Q7" s="17" t="s">
        <v>47</v>
      </c>
      <c r="R7" s="17" t="s">
        <v>47</v>
      </c>
      <c r="S7" s="17" t="s">
        <v>48</v>
      </c>
      <c r="T7" s="17" t="s">
        <v>49</v>
      </c>
      <c r="U7" s="17" t="s">
        <v>50</v>
      </c>
      <c r="V7" s="17" t="s">
        <v>51</v>
      </c>
      <c r="W7" s="18" t="str">
        <f t="shared" ref="W7:W29" si="0">IF(OR($E7="",$S7=""),"",IF($S7="No","No es ASR: gestionar fuera de la arquitectura",IF($S7="Por validar","Falta evidencia: conseguirla antes de decidir",IF($E7="Calidad","Va al Utility Tree (hoja 3)",IF($E7="Restricción","Va a Restricciones (hoja 4)","Va a Funciones críticas (hoja 4)")))))</f>
        <v>Va a Funciones críticas (hoja 4)</v>
      </c>
      <c r="X7" s="19" t="str">
        <f t="shared" ref="X7:X33" si="1">IF(COUNTA($A7:$V7)=0,"",COUNTA($A7:$V7)&amp;"/22")</f>
        <v>22/22</v>
      </c>
    </row>
    <row r="8" spans="1:24" customFormat="1" ht="49.5" customHeight="1">
      <c r="A8" s="17" t="s">
        <v>52</v>
      </c>
      <c r="B8" s="17" t="s">
        <v>53</v>
      </c>
      <c r="C8" s="17" t="s">
        <v>33</v>
      </c>
      <c r="D8" s="17" t="s">
        <v>34</v>
      </c>
      <c r="E8" s="17" t="s">
        <v>35</v>
      </c>
      <c r="F8" s="17" t="s">
        <v>54</v>
      </c>
      <c r="G8" s="17" t="s">
        <v>37</v>
      </c>
      <c r="H8" s="17" t="s">
        <v>55</v>
      </c>
      <c r="I8" s="17" t="s">
        <v>56</v>
      </c>
      <c r="J8" s="17" t="s">
        <v>57</v>
      </c>
      <c r="K8" s="17" t="s">
        <v>58</v>
      </c>
      <c r="L8" s="17" t="s">
        <v>59</v>
      </c>
      <c r="M8" s="17" t="s">
        <v>60</v>
      </c>
      <c r="N8" s="17" t="s">
        <v>61</v>
      </c>
      <c r="O8" s="17" t="s">
        <v>62</v>
      </c>
      <c r="P8" s="17" t="s">
        <v>63</v>
      </c>
      <c r="Q8" s="17" t="s">
        <v>47</v>
      </c>
      <c r="R8" s="17" t="s">
        <v>47</v>
      </c>
      <c r="S8" s="17" t="s">
        <v>48</v>
      </c>
      <c r="T8" s="17" t="s">
        <v>64</v>
      </c>
      <c r="U8" s="17" t="s">
        <v>65</v>
      </c>
      <c r="V8" s="17" t="s">
        <v>66</v>
      </c>
      <c r="W8" s="20" t="str">
        <f t="shared" si="0"/>
        <v>Va a Funciones críticas (hoja 4)</v>
      </c>
      <c r="X8" s="21" t="str">
        <f t="shared" si="1"/>
        <v>22/22</v>
      </c>
    </row>
    <row r="9" spans="1:24" customFormat="1" ht="54.75" customHeight="1">
      <c r="A9" s="17" t="s">
        <v>67</v>
      </c>
      <c r="B9" s="17" t="s">
        <v>68</v>
      </c>
      <c r="C9" s="17" t="s">
        <v>33</v>
      </c>
      <c r="D9" s="17" t="s">
        <v>34</v>
      </c>
      <c r="E9" s="17" t="s">
        <v>35</v>
      </c>
      <c r="F9" s="17" t="s">
        <v>69</v>
      </c>
      <c r="G9" s="17" t="s">
        <v>37</v>
      </c>
      <c r="H9" s="17" t="s">
        <v>70</v>
      </c>
      <c r="I9" s="17" t="s">
        <v>71</v>
      </c>
      <c r="J9" s="17" t="s">
        <v>72</v>
      </c>
      <c r="K9" s="17" t="s">
        <v>73</v>
      </c>
      <c r="L9" s="17" t="s">
        <v>74</v>
      </c>
      <c r="M9" s="17" t="s">
        <v>75</v>
      </c>
      <c r="N9" s="17" t="s">
        <v>76</v>
      </c>
      <c r="O9" s="17" t="s">
        <v>45</v>
      </c>
      <c r="P9" s="17" t="s">
        <v>77</v>
      </c>
      <c r="Q9" s="17" t="s">
        <v>78</v>
      </c>
      <c r="R9" s="17" t="s">
        <v>78</v>
      </c>
      <c r="S9" s="17" t="s">
        <v>48</v>
      </c>
      <c r="T9" s="17" t="s">
        <v>79</v>
      </c>
      <c r="U9" s="17" t="s">
        <v>80</v>
      </c>
      <c r="V9" s="17" t="s">
        <v>81</v>
      </c>
      <c r="W9" s="20" t="str">
        <f t="shared" si="0"/>
        <v>Va a Funciones críticas (hoja 4)</v>
      </c>
      <c r="X9" s="21" t="str">
        <f t="shared" si="1"/>
        <v>22/22</v>
      </c>
    </row>
    <row r="10" spans="1:24" customFormat="1" ht="54.75" customHeight="1">
      <c r="A10" s="17" t="s">
        <v>82</v>
      </c>
      <c r="B10" s="17" t="s">
        <v>83</v>
      </c>
      <c r="C10" s="17" t="s">
        <v>33</v>
      </c>
      <c r="D10" s="17" t="s">
        <v>34</v>
      </c>
      <c r="E10" s="17" t="s">
        <v>35</v>
      </c>
      <c r="F10" s="17" t="s">
        <v>84</v>
      </c>
      <c r="G10" s="17" t="s">
        <v>37</v>
      </c>
      <c r="H10" s="17" t="s">
        <v>85</v>
      </c>
      <c r="I10" s="17" t="s">
        <v>86</v>
      </c>
      <c r="J10" s="17" t="s">
        <v>87</v>
      </c>
      <c r="K10" s="17" t="s">
        <v>88</v>
      </c>
      <c r="L10" s="17" t="s">
        <v>89</v>
      </c>
      <c r="M10" s="17" t="s">
        <v>90</v>
      </c>
      <c r="N10" s="17" t="s">
        <v>91</v>
      </c>
      <c r="O10" s="17" t="s">
        <v>92</v>
      </c>
      <c r="P10" s="17" t="s">
        <v>93</v>
      </c>
      <c r="Q10" s="17" t="s">
        <v>47</v>
      </c>
      <c r="R10" s="17" t="s">
        <v>47</v>
      </c>
      <c r="S10" s="17" t="s">
        <v>48</v>
      </c>
      <c r="T10" s="17" t="s">
        <v>94</v>
      </c>
      <c r="U10" s="17" t="s">
        <v>95</v>
      </c>
      <c r="V10" s="17" t="s">
        <v>96</v>
      </c>
      <c r="W10" s="20" t="str">
        <f t="shared" si="0"/>
        <v>Va a Funciones críticas (hoja 4)</v>
      </c>
      <c r="X10" s="21" t="str">
        <f t="shared" si="1"/>
        <v>22/22</v>
      </c>
    </row>
    <row r="11" spans="1:24" customFormat="1" ht="50.25" customHeight="1">
      <c r="A11" s="17" t="s">
        <v>97</v>
      </c>
      <c r="B11" s="17" t="s">
        <v>98</v>
      </c>
      <c r="C11" s="17" t="s">
        <v>33</v>
      </c>
      <c r="D11" s="17" t="s">
        <v>34</v>
      </c>
      <c r="E11" s="17" t="s">
        <v>35</v>
      </c>
      <c r="F11" s="17" t="s">
        <v>99</v>
      </c>
      <c r="G11" s="17" t="s">
        <v>37</v>
      </c>
      <c r="H11" s="17" t="s">
        <v>100</v>
      </c>
      <c r="I11" s="17" t="s">
        <v>101</v>
      </c>
      <c r="J11" s="17" t="s">
        <v>102</v>
      </c>
      <c r="K11" s="17" t="s">
        <v>103</v>
      </c>
      <c r="L11" s="17" t="s">
        <v>104</v>
      </c>
      <c r="M11" s="17" t="s">
        <v>105</v>
      </c>
      <c r="N11" s="17" t="s">
        <v>106</v>
      </c>
      <c r="O11" s="17" t="s">
        <v>45</v>
      </c>
      <c r="P11" s="17" t="s">
        <v>107</v>
      </c>
      <c r="Q11" s="17" t="s">
        <v>78</v>
      </c>
      <c r="R11" s="17" t="s">
        <v>78</v>
      </c>
      <c r="S11" s="17" t="s">
        <v>48</v>
      </c>
      <c r="T11" s="17" t="s">
        <v>108</v>
      </c>
      <c r="U11" s="17" t="s">
        <v>109</v>
      </c>
      <c r="V11" s="17" t="s">
        <v>110</v>
      </c>
      <c r="W11" s="20" t="str">
        <f t="shared" si="0"/>
        <v>Va a Funciones críticas (hoja 4)</v>
      </c>
      <c r="X11" s="21" t="str">
        <f t="shared" si="1"/>
        <v>22/22</v>
      </c>
    </row>
    <row r="12" spans="1:24" customFormat="1" ht="53.25" customHeight="1">
      <c r="A12" s="17" t="s">
        <v>111</v>
      </c>
      <c r="B12" s="17" t="s">
        <v>112</v>
      </c>
      <c r="C12" s="17" t="s">
        <v>113</v>
      </c>
      <c r="D12" s="17" t="s">
        <v>34</v>
      </c>
      <c r="E12" s="17" t="s">
        <v>35</v>
      </c>
      <c r="F12" s="17" t="s">
        <v>114</v>
      </c>
      <c r="G12" s="17" t="s">
        <v>37</v>
      </c>
      <c r="H12" s="17" t="s">
        <v>115</v>
      </c>
      <c r="I12" s="17" t="s">
        <v>116</v>
      </c>
      <c r="J12" s="17" t="s">
        <v>117</v>
      </c>
      <c r="K12" s="17" t="s">
        <v>118</v>
      </c>
      <c r="L12" s="17" t="s">
        <v>119</v>
      </c>
      <c r="M12" s="17" t="s">
        <v>120</v>
      </c>
      <c r="N12" s="17" t="s">
        <v>121</v>
      </c>
      <c r="O12" s="17" t="s">
        <v>45</v>
      </c>
      <c r="P12" s="17" t="s">
        <v>122</v>
      </c>
      <c r="Q12" s="17" t="s">
        <v>47</v>
      </c>
      <c r="R12" s="17" t="s">
        <v>78</v>
      </c>
      <c r="S12" s="17" t="s">
        <v>48</v>
      </c>
      <c r="T12" s="17" t="s">
        <v>123</v>
      </c>
      <c r="U12" s="17" t="s">
        <v>124</v>
      </c>
      <c r="V12" s="17" t="s">
        <v>125</v>
      </c>
      <c r="W12" s="20" t="str">
        <f t="shared" si="0"/>
        <v>Va a Funciones críticas (hoja 4)</v>
      </c>
      <c r="X12" s="21" t="str">
        <f t="shared" si="1"/>
        <v>22/22</v>
      </c>
    </row>
    <row r="13" spans="1:24" customFormat="1" ht="53.25" customHeight="1">
      <c r="A13" s="17" t="s">
        <v>126</v>
      </c>
      <c r="B13" s="17" t="s">
        <v>127</v>
      </c>
      <c r="C13" s="17" t="s">
        <v>128</v>
      </c>
      <c r="D13" s="17" t="s">
        <v>34</v>
      </c>
      <c r="E13" s="17" t="s">
        <v>35</v>
      </c>
      <c r="F13" s="17" t="s">
        <v>129</v>
      </c>
      <c r="G13" s="17" t="s">
        <v>37</v>
      </c>
      <c r="H13" s="17" t="s">
        <v>55</v>
      </c>
      <c r="I13" s="17" t="s">
        <v>130</v>
      </c>
      <c r="J13" s="17" t="s">
        <v>131</v>
      </c>
      <c r="K13" s="17" t="s">
        <v>132</v>
      </c>
      <c r="L13" s="17" t="s">
        <v>133</v>
      </c>
      <c r="M13" s="17" t="s">
        <v>134</v>
      </c>
      <c r="N13" s="17" t="s">
        <v>135</v>
      </c>
      <c r="O13" s="17" t="s">
        <v>62</v>
      </c>
      <c r="P13" s="17" t="s">
        <v>136</v>
      </c>
      <c r="Q13" s="17" t="s">
        <v>47</v>
      </c>
      <c r="R13" s="17" t="s">
        <v>47</v>
      </c>
      <c r="S13" s="17" t="s">
        <v>48</v>
      </c>
      <c r="T13" s="17" t="s">
        <v>137</v>
      </c>
      <c r="U13" s="17" t="s">
        <v>138</v>
      </c>
      <c r="V13" s="17" t="s">
        <v>139</v>
      </c>
      <c r="W13" s="20" t="str">
        <f t="shared" si="0"/>
        <v>Va a Funciones críticas (hoja 4)</v>
      </c>
      <c r="X13" s="21" t="str">
        <f t="shared" si="1"/>
        <v>22/22</v>
      </c>
    </row>
    <row r="14" spans="1:24" customFormat="1" ht="51" customHeight="1">
      <c r="A14" s="17" t="s">
        <v>140</v>
      </c>
      <c r="B14" s="17" t="s">
        <v>141</v>
      </c>
      <c r="C14" s="17" t="s">
        <v>142</v>
      </c>
      <c r="D14" s="17" t="s">
        <v>34</v>
      </c>
      <c r="E14" s="17" t="s">
        <v>35</v>
      </c>
      <c r="F14" s="17" t="s">
        <v>143</v>
      </c>
      <c r="G14" s="17" t="s">
        <v>144</v>
      </c>
      <c r="H14" s="17" t="s">
        <v>145</v>
      </c>
      <c r="I14" s="17" t="s">
        <v>146</v>
      </c>
      <c r="J14" s="17" t="s">
        <v>147</v>
      </c>
      <c r="K14" s="17" t="s">
        <v>148</v>
      </c>
      <c r="L14" s="17" t="s">
        <v>149</v>
      </c>
      <c r="M14" s="17" t="s">
        <v>150</v>
      </c>
      <c r="N14" s="17" t="s">
        <v>151</v>
      </c>
      <c r="O14" s="17" t="s">
        <v>45</v>
      </c>
      <c r="P14" s="17" t="s">
        <v>152</v>
      </c>
      <c r="Q14" s="17" t="s">
        <v>47</v>
      </c>
      <c r="R14" s="17" t="s">
        <v>78</v>
      </c>
      <c r="S14" s="17" t="s">
        <v>48</v>
      </c>
      <c r="T14" s="17" t="s">
        <v>153</v>
      </c>
      <c r="U14" s="17" t="s">
        <v>154</v>
      </c>
      <c r="V14" s="17" t="s">
        <v>155</v>
      </c>
      <c r="W14" s="20" t="str">
        <f t="shared" si="0"/>
        <v>Va a Funciones críticas (hoja 4)</v>
      </c>
      <c r="X14" s="21" t="str">
        <f t="shared" si="1"/>
        <v>22/22</v>
      </c>
    </row>
    <row r="15" spans="1:24" customFormat="1" ht="51" customHeight="1">
      <c r="A15" s="17" t="s">
        <v>156</v>
      </c>
      <c r="B15" s="17" t="s">
        <v>157</v>
      </c>
      <c r="C15" s="17" t="s">
        <v>158</v>
      </c>
      <c r="D15" s="17" t="s">
        <v>34</v>
      </c>
      <c r="E15" s="17" t="s">
        <v>35</v>
      </c>
      <c r="F15" s="17" t="s">
        <v>159</v>
      </c>
      <c r="G15" s="17" t="s">
        <v>37</v>
      </c>
      <c r="H15" s="17" t="s">
        <v>160</v>
      </c>
      <c r="I15" s="17" t="s">
        <v>161</v>
      </c>
      <c r="J15" s="17" t="s">
        <v>162</v>
      </c>
      <c r="K15" s="17" t="s">
        <v>163</v>
      </c>
      <c r="L15" s="17" t="s">
        <v>164</v>
      </c>
      <c r="M15" s="17" t="s">
        <v>165</v>
      </c>
      <c r="N15" s="17" t="s">
        <v>166</v>
      </c>
      <c r="O15" s="17" t="s">
        <v>62</v>
      </c>
      <c r="P15" s="17" t="s">
        <v>167</v>
      </c>
      <c r="Q15" s="17" t="s">
        <v>47</v>
      </c>
      <c r="R15" s="17" t="s">
        <v>78</v>
      </c>
      <c r="S15" s="17" t="s">
        <v>48</v>
      </c>
      <c r="T15" s="17" t="s">
        <v>168</v>
      </c>
      <c r="U15" s="17" t="s">
        <v>169</v>
      </c>
      <c r="V15" s="17" t="s">
        <v>170</v>
      </c>
      <c r="W15" s="20" t="str">
        <f t="shared" si="0"/>
        <v>Va a Funciones críticas (hoja 4)</v>
      </c>
      <c r="X15" s="21" t="str">
        <f t="shared" si="1"/>
        <v>22/22</v>
      </c>
    </row>
    <row r="16" spans="1:24" customFormat="1" ht="58.5" customHeight="1">
      <c r="A16" s="17" t="s">
        <v>171</v>
      </c>
      <c r="B16" s="17" t="s">
        <v>172</v>
      </c>
      <c r="C16" s="17" t="s">
        <v>173</v>
      </c>
      <c r="D16" s="17" t="s">
        <v>34</v>
      </c>
      <c r="E16" s="17" t="s">
        <v>35</v>
      </c>
      <c r="F16" s="17" t="s">
        <v>174</v>
      </c>
      <c r="G16" s="17" t="s">
        <v>37</v>
      </c>
      <c r="H16" s="17" t="s">
        <v>175</v>
      </c>
      <c r="I16" s="17" t="s">
        <v>176</v>
      </c>
      <c r="J16" s="17" t="s">
        <v>177</v>
      </c>
      <c r="K16" s="17" t="s">
        <v>178</v>
      </c>
      <c r="L16" s="17" t="s">
        <v>179</v>
      </c>
      <c r="M16" s="17" t="s">
        <v>180</v>
      </c>
      <c r="N16" s="17" t="s">
        <v>181</v>
      </c>
      <c r="O16" s="17" t="s">
        <v>45</v>
      </c>
      <c r="P16" s="17" t="s">
        <v>182</v>
      </c>
      <c r="Q16" s="17" t="s">
        <v>47</v>
      </c>
      <c r="R16" s="17" t="s">
        <v>78</v>
      </c>
      <c r="S16" s="17" t="s">
        <v>48</v>
      </c>
      <c r="T16" s="17" t="s">
        <v>183</v>
      </c>
      <c r="U16" s="17" t="s">
        <v>184</v>
      </c>
      <c r="V16" s="17" t="s">
        <v>185</v>
      </c>
      <c r="W16" s="20" t="str">
        <f t="shared" si="0"/>
        <v>Va a Funciones críticas (hoja 4)</v>
      </c>
      <c r="X16" s="21" t="str">
        <f t="shared" si="1"/>
        <v>22/22</v>
      </c>
    </row>
    <row r="17" spans="1:24" customFormat="1" ht="57.75" customHeight="1">
      <c r="A17" s="17" t="s">
        <v>186</v>
      </c>
      <c r="B17" s="17" t="s">
        <v>187</v>
      </c>
      <c r="C17" s="17" t="s">
        <v>188</v>
      </c>
      <c r="D17" s="17" t="s">
        <v>34</v>
      </c>
      <c r="E17" s="17" t="s">
        <v>35</v>
      </c>
      <c r="F17" s="17" t="s">
        <v>189</v>
      </c>
      <c r="G17" s="17" t="s">
        <v>37</v>
      </c>
      <c r="H17" s="17" t="s">
        <v>190</v>
      </c>
      <c r="I17" s="17" t="s">
        <v>191</v>
      </c>
      <c r="J17" s="17" t="s">
        <v>192</v>
      </c>
      <c r="K17" s="17" t="s">
        <v>193</v>
      </c>
      <c r="L17" s="17" t="s">
        <v>194</v>
      </c>
      <c r="M17" s="17" t="s">
        <v>195</v>
      </c>
      <c r="N17" s="17" t="s">
        <v>196</v>
      </c>
      <c r="O17" s="17" t="s">
        <v>62</v>
      </c>
      <c r="P17" s="17" t="s">
        <v>197</v>
      </c>
      <c r="Q17" s="17" t="s">
        <v>78</v>
      </c>
      <c r="R17" s="17" t="s">
        <v>78</v>
      </c>
      <c r="S17" s="17" t="s">
        <v>48</v>
      </c>
      <c r="T17" s="17" t="s">
        <v>198</v>
      </c>
      <c r="U17" s="17" t="s">
        <v>199</v>
      </c>
      <c r="V17" s="17" t="s">
        <v>200</v>
      </c>
      <c r="W17" s="20" t="str">
        <f t="shared" si="0"/>
        <v>Va a Funciones críticas (hoja 4)</v>
      </c>
      <c r="X17" s="21" t="str">
        <f t="shared" si="1"/>
        <v>22/22</v>
      </c>
    </row>
    <row r="18" spans="1:24" customFormat="1" ht="43.5" customHeight="1">
      <c r="A18" s="17" t="s">
        <v>201</v>
      </c>
      <c r="B18" s="17" t="s">
        <v>202</v>
      </c>
      <c r="C18" s="17" t="s">
        <v>128</v>
      </c>
      <c r="D18" s="17" t="s">
        <v>34</v>
      </c>
      <c r="E18" s="17" t="s">
        <v>203</v>
      </c>
      <c r="F18" s="17" t="s">
        <v>204</v>
      </c>
      <c r="G18" s="17" t="s">
        <v>205</v>
      </c>
      <c r="H18" s="17" t="s">
        <v>206</v>
      </c>
      <c r="I18" s="17" t="s">
        <v>101</v>
      </c>
      <c r="J18" s="17" t="s">
        <v>207</v>
      </c>
      <c r="K18" s="17" t="s">
        <v>208</v>
      </c>
      <c r="L18" s="17" t="s">
        <v>209</v>
      </c>
      <c r="M18" s="17" t="s">
        <v>210</v>
      </c>
      <c r="N18" s="17" t="s">
        <v>211</v>
      </c>
      <c r="O18" s="17" t="s">
        <v>45</v>
      </c>
      <c r="P18" s="17" t="s">
        <v>212</v>
      </c>
      <c r="Q18" s="17" t="s">
        <v>78</v>
      </c>
      <c r="R18" s="17" t="s">
        <v>78</v>
      </c>
      <c r="S18" s="17" t="s">
        <v>48</v>
      </c>
      <c r="T18" s="17" t="s">
        <v>213</v>
      </c>
      <c r="U18" s="17" t="s">
        <v>214</v>
      </c>
      <c r="V18" s="17" t="s">
        <v>215</v>
      </c>
      <c r="W18" s="20" t="str">
        <f t="shared" si="0"/>
        <v>Va al Utility Tree (hoja 3)</v>
      </c>
      <c r="X18" s="21" t="str">
        <f t="shared" si="1"/>
        <v>22/22</v>
      </c>
    </row>
    <row r="19" spans="1:24" customFormat="1" ht="43.5" customHeight="1">
      <c r="A19" s="17" t="s">
        <v>216</v>
      </c>
      <c r="B19" s="17" t="s">
        <v>217</v>
      </c>
      <c r="C19" s="17" t="s">
        <v>142</v>
      </c>
      <c r="D19" s="17" t="s">
        <v>34</v>
      </c>
      <c r="E19" s="17" t="s">
        <v>203</v>
      </c>
      <c r="F19" s="17" t="s">
        <v>218</v>
      </c>
      <c r="G19" s="17" t="s">
        <v>205</v>
      </c>
      <c r="H19" s="17" t="s">
        <v>206</v>
      </c>
      <c r="I19" s="17" t="s">
        <v>146</v>
      </c>
      <c r="J19" s="17" t="s">
        <v>219</v>
      </c>
      <c r="K19" s="17" t="s">
        <v>220</v>
      </c>
      <c r="L19" s="17" t="s">
        <v>221</v>
      </c>
      <c r="M19" s="17" t="s">
        <v>222</v>
      </c>
      <c r="N19" s="17" t="s">
        <v>223</v>
      </c>
      <c r="O19" s="17" t="s">
        <v>224</v>
      </c>
      <c r="P19" s="17" t="s">
        <v>225</v>
      </c>
      <c r="Q19" s="17" t="s">
        <v>47</v>
      </c>
      <c r="R19" s="17" t="s">
        <v>78</v>
      </c>
      <c r="S19" s="17" t="s">
        <v>48</v>
      </c>
      <c r="T19" s="17" t="s">
        <v>226</v>
      </c>
      <c r="U19" s="17" t="s">
        <v>227</v>
      </c>
      <c r="V19" s="17" t="s">
        <v>228</v>
      </c>
      <c r="W19" s="20" t="str">
        <f t="shared" si="0"/>
        <v>Va al Utility Tree (hoja 3)</v>
      </c>
      <c r="X19" s="21" t="str">
        <f t="shared" si="1"/>
        <v>22/22</v>
      </c>
    </row>
    <row r="20" spans="1:24" customFormat="1" ht="43.5" customHeight="1">
      <c r="A20" s="17" t="s">
        <v>229</v>
      </c>
      <c r="B20" s="17" t="s">
        <v>230</v>
      </c>
      <c r="C20" s="17" t="s">
        <v>33</v>
      </c>
      <c r="D20" s="17" t="s">
        <v>34</v>
      </c>
      <c r="E20" s="17" t="s">
        <v>203</v>
      </c>
      <c r="F20" s="17" t="s">
        <v>231</v>
      </c>
      <c r="G20" s="17" t="s">
        <v>144</v>
      </c>
      <c r="H20" s="17" t="s">
        <v>232</v>
      </c>
      <c r="I20" s="17" t="s">
        <v>233</v>
      </c>
      <c r="J20" s="17" t="s">
        <v>234</v>
      </c>
      <c r="K20" s="17" t="s">
        <v>235</v>
      </c>
      <c r="L20" s="17" t="s">
        <v>236</v>
      </c>
      <c r="M20" s="17" t="s">
        <v>237</v>
      </c>
      <c r="N20" s="17" t="s">
        <v>238</v>
      </c>
      <c r="O20" s="17" t="s">
        <v>239</v>
      </c>
      <c r="P20" s="17" t="s">
        <v>240</v>
      </c>
      <c r="Q20" s="17" t="s">
        <v>47</v>
      </c>
      <c r="R20" s="17" t="s">
        <v>78</v>
      </c>
      <c r="S20" s="17" t="s">
        <v>48</v>
      </c>
      <c r="T20" s="17" t="s">
        <v>241</v>
      </c>
      <c r="U20" s="17" t="s">
        <v>242</v>
      </c>
      <c r="V20" s="17" t="s">
        <v>243</v>
      </c>
      <c r="W20" s="20" t="str">
        <f t="shared" si="0"/>
        <v>Va al Utility Tree (hoja 3)</v>
      </c>
      <c r="X20" s="21" t="str">
        <f t="shared" si="1"/>
        <v>22/22</v>
      </c>
    </row>
    <row r="21" spans="1:24" customFormat="1" ht="43.5" customHeight="1">
      <c r="A21" s="17" t="s">
        <v>244</v>
      </c>
      <c r="B21" s="17" t="s">
        <v>245</v>
      </c>
      <c r="C21" s="17" t="s">
        <v>246</v>
      </c>
      <c r="D21" s="17" t="s">
        <v>34</v>
      </c>
      <c r="E21" s="17" t="s">
        <v>203</v>
      </c>
      <c r="F21" s="17" t="s">
        <v>247</v>
      </c>
      <c r="G21" s="17" t="s">
        <v>144</v>
      </c>
      <c r="H21" s="17" t="s">
        <v>248</v>
      </c>
      <c r="I21" s="17" t="s">
        <v>249</v>
      </c>
      <c r="J21" s="17" t="s">
        <v>250</v>
      </c>
      <c r="K21" s="17" t="s">
        <v>251</v>
      </c>
      <c r="L21" s="17" t="s">
        <v>252</v>
      </c>
      <c r="M21" s="17" t="s">
        <v>253</v>
      </c>
      <c r="N21" s="17" t="s">
        <v>254</v>
      </c>
      <c r="O21" s="17" t="s">
        <v>255</v>
      </c>
      <c r="P21" s="17" t="s">
        <v>256</v>
      </c>
      <c r="Q21" s="17" t="s">
        <v>47</v>
      </c>
      <c r="R21" s="17" t="s">
        <v>47</v>
      </c>
      <c r="S21" s="17" t="s">
        <v>48</v>
      </c>
      <c r="T21" s="17" t="s">
        <v>257</v>
      </c>
      <c r="U21" s="17" t="s">
        <v>258</v>
      </c>
      <c r="V21" s="17" t="s">
        <v>259</v>
      </c>
      <c r="W21" s="20" t="str">
        <f t="shared" si="0"/>
        <v>Va al Utility Tree (hoja 3)</v>
      </c>
      <c r="X21" s="21" t="str">
        <f t="shared" si="1"/>
        <v>22/22</v>
      </c>
    </row>
    <row r="22" spans="1:24" customFormat="1" ht="43.5" customHeight="1">
      <c r="A22" s="17" t="s">
        <v>260</v>
      </c>
      <c r="B22" s="17" t="s">
        <v>261</v>
      </c>
      <c r="C22" s="17" t="s">
        <v>262</v>
      </c>
      <c r="D22" s="17" t="s">
        <v>34</v>
      </c>
      <c r="E22" s="17" t="s">
        <v>203</v>
      </c>
      <c r="F22" s="17" t="s">
        <v>263</v>
      </c>
      <c r="G22" s="17" t="s">
        <v>37</v>
      </c>
      <c r="H22" s="17" t="s">
        <v>264</v>
      </c>
      <c r="I22" s="17" t="s">
        <v>86</v>
      </c>
      <c r="J22" s="17" t="s">
        <v>265</v>
      </c>
      <c r="K22" s="17" t="s">
        <v>266</v>
      </c>
      <c r="L22" s="17" t="s">
        <v>267</v>
      </c>
      <c r="M22" s="17" t="s">
        <v>268</v>
      </c>
      <c r="N22" s="17" t="s">
        <v>269</v>
      </c>
      <c r="O22" s="17" t="s">
        <v>92</v>
      </c>
      <c r="P22" s="17" t="s">
        <v>270</v>
      </c>
      <c r="Q22" s="17" t="s">
        <v>47</v>
      </c>
      <c r="R22" s="17" t="s">
        <v>47</v>
      </c>
      <c r="S22" s="17" t="s">
        <v>48</v>
      </c>
      <c r="T22" s="17" t="s">
        <v>271</v>
      </c>
      <c r="U22" s="17" t="s">
        <v>272</v>
      </c>
      <c r="V22" s="17" t="s">
        <v>273</v>
      </c>
      <c r="W22" s="20" t="str">
        <f t="shared" si="0"/>
        <v>Va al Utility Tree (hoja 3)</v>
      </c>
      <c r="X22" s="21" t="str">
        <f t="shared" si="1"/>
        <v>22/22</v>
      </c>
    </row>
    <row r="23" spans="1:24" customFormat="1" ht="43.5" customHeight="1">
      <c r="A23" s="17" t="s">
        <v>274</v>
      </c>
      <c r="B23" s="17" t="s">
        <v>275</v>
      </c>
      <c r="C23" s="17" t="s">
        <v>142</v>
      </c>
      <c r="D23" s="17" t="s">
        <v>34</v>
      </c>
      <c r="E23" s="17" t="s">
        <v>203</v>
      </c>
      <c r="F23" s="17" t="s">
        <v>276</v>
      </c>
      <c r="G23" s="17" t="s">
        <v>144</v>
      </c>
      <c r="H23" s="17" t="s">
        <v>277</v>
      </c>
      <c r="I23" s="17" t="s">
        <v>278</v>
      </c>
      <c r="J23" s="17" t="s">
        <v>279</v>
      </c>
      <c r="K23" s="17" t="s">
        <v>280</v>
      </c>
      <c r="L23" s="17" t="s">
        <v>281</v>
      </c>
      <c r="M23" s="17" t="s">
        <v>282</v>
      </c>
      <c r="N23" s="17" t="s">
        <v>283</v>
      </c>
      <c r="O23" s="17" t="s">
        <v>45</v>
      </c>
      <c r="P23" s="17" t="s">
        <v>284</v>
      </c>
      <c r="Q23" s="17" t="s">
        <v>47</v>
      </c>
      <c r="R23" s="17" t="s">
        <v>78</v>
      </c>
      <c r="S23" s="17" t="s">
        <v>48</v>
      </c>
      <c r="T23" s="17" t="s">
        <v>285</v>
      </c>
      <c r="U23" s="17" t="s">
        <v>286</v>
      </c>
      <c r="V23" s="17" t="s">
        <v>287</v>
      </c>
      <c r="W23" s="20" t="str">
        <f t="shared" si="0"/>
        <v>Va al Utility Tree (hoja 3)</v>
      </c>
      <c r="X23" s="21" t="str">
        <f t="shared" si="1"/>
        <v>22/22</v>
      </c>
    </row>
    <row r="24" spans="1:24" customFormat="1" ht="43.5" customHeight="1">
      <c r="A24" s="17" t="s">
        <v>288</v>
      </c>
      <c r="B24" s="17" t="s">
        <v>289</v>
      </c>
      <c r="C24" s="17" t="s">
        <v>113</v>
      </c>
      <c r="D24" s="17" t="s">
        <v>34</v>
      </c>
      <c r="E24" s="17" t="s">
        <v>203</v>
      </c>
      <c r="F24" s="17" t="s">
        <v>290</v>
      </c>
      <c r="G24" s="17" t="s">
        <v>291</v>
      </c>
      <c r="H24" s="17" t="s">
        <v>292</v>
      </c>
      <c r="I24" s="17" t="s">
        <v>293</v>
      </c>
      <c r="J24" s="17" t="s">
        <v>294</v>
      </c>
      <c r="K24" s="17" t="s">
        <v>295</v>
      </c>
      <c r="L24" s="17" t="s">
        <v>296</v>
      </c>
      <c r="M24" s="17" t="s">
        <v>297</v>
      </c>
      <c r="N24" s="17" t="s">
        <v>298</v>
      </c>
      <c r="O24" s="17" t="s">
        <v>45</v>
      </c>
      <c r="P24" s="17" t="s">
        <v>299</v>
      </c>
      <c r="Q24" s="17" t="s">
        <v>78</v>
      </c>
      <c r="R24" s="17" t="s">
        <v>300</v>
      </c>
      <c r="S24" s="17" t="s">
        <v>48</v>
      </c>
      <c r="T24" s="17" t="s">
        <v>301</v>
      </c>
      <c r="U24" s="17" t="s">
        <v>302</v>
      </c>
      <c r="V24" s="17" t="s">
        <v>303</v>
      </c>
      <c r="W24" s="20" t="str">
        <f t="shared" si="0"/>
        <v>Va al Utility Tree (hoja 3)</v>
      </c>
      <c r="X24" s="21" t="str">
        <f t="shared" si="1"/>
        <v>22/22</v>
      </c>
    </row>
    <row r="25" spans="1:24" customFormat="1" ht="43.5" customHeight="1">
      <c r="A25" s="17" t="s">
        <v>304</v>
      </c>
      <c r="B25" s="17" t="s">
        <v>305</v>
      </c>
      <c r="C25" s="17" t="s">
        <v>306</v>
      </c>
      <c r="D25" s="17" t="s">
        <v>34</v>
      </c>
      <c r="E25" s="17" t="s">
        <v>203</v>
      </c>
      <c r="F25" s="17" t="s">
        <v>307</v>
      </c>
      <c r="G25" s="17" t="s">
        <v>308</v>
      </c>
      <c r="H25" s="17" t="s">
        <v>309</v>
      </c>
      <c r="I25" s="17" t="s">
        <v>310</v>
      </c>
      <c r="J25" s="17" t="s">
        <v>311</v>
      </c>
      <c r="K25" s="17" t="s">
        <v>312</v>
      </c>
      <c r="L25" s="17" t="s">
        <v>313</v>
      </c>
      <c r="M25" s="17" t="s">
        <v>314</v>
      </c>
      <c r="N25" s="17" t="s">
        <v>315</v>
      </c>
      <c r="O25" s="17" t="s">
        <v>316</v>
      </c>
      <c r="P25" s="17" t="s">
        <v>317</v>
      </c>
      <c r="Q25" s="17" t="s">
        <v>47</v>
      </c>
      <c r="R25" s="17" t="s">
        <v>47</v>
      </c>
      <c r="S25" s="17" t="s">
        <v>48</v>
      </c>
      <c r="T25" s="17" t="s">
        <v>318</v>
      </c>
      <c r="U25" s="17" t="s">
        <v>319</v>
      </c>
      <c r="V25" s="17" t="s">
        <v>320</v>
      </c>
      <c r="W25" s="20" t="str">
        <f t="shared" si="0"/>
        <v>Va al Utility Tree (hoja 3)</v>
      </c>
      <c r="X25" s="21" t="str">
        <f t="shared" si="1"/>
        <v>22/22</v>
      </c>
    </row>
    <row r="26" spans="1:24" customFormat="1" ht="43.5" customHeight="1">
      <c r="A26" s="17" t="s">
        <v>321</v>
      </c>
      <c r="B26" s="17" t="s">
        <v>322</v>
      </c>
      <c r="C26" s="17" t="s">
        <v>306</v>
      </c>
      <c r="D26" s="17" t="s">
        <v>34</v>
      </c>
      <c r="E26" s="17" t="s">
        <v>203</v>
      </c>
      <c r="F26" s="17" t="s">
        <v>323</v>
      </c>
      <c r="G26" s="17" t="s">
        <v>324</v>
      </c>
      <c r="H26" s="17" t="s">
        <v>325</v>
      </c>
      <c r="I26" s="17" t="s">
        <v>326</v>
      </c>
      <c r="J26" s="17" t="s">
        <v>327</v>
      </c>
      <c r="K26" s="17" t="s">
        <v>328</v>
      </c>
      <c r="L26" s="17" t="s">
        <v>329</v>
      </c>
      <c r="M26" s="17" t="s">
        <v>330</v>
      </c>
      <c r="N26" s="17" t="s">
        <v>331</v>
      </c>
      <c r="O26" s="17" t="s">
        <v>239</v>
      </c>
      <c r="P26" s="17" t="s">
        <v>332</v>
      </c>
      <c r="Q26" s="17" t="s">
        <v>78</v>
      </c>
      <c r="R26" s="17" t="s">
        <v>78</v>
      </c>
      <c r="S26" s="17" t="s">
        <v>48</v>
      </c>
      <c r="T26" s="17" t="s">
        <v>333</v>
      </c>
      <c r="U26" s="17" t="s">
        <v>334</v>
      </c>
      <c r="V26" s="17" t="s">
        <v>335</v>
      </c>
      <c r="W26" s="20" t="str">
        <f t="shared" si="0"/>
        <v>Va al Utility Tree (hoja 3)</v>
      </c>
      <c r="X26" s="21" t="str">
        <f t="shared" si="1"/>
        <v>22/22</v>
      </c>
    </row>
    <row r="27" spans="1:24" customFormat="1" ht="43.5" customHeight="1">
      <c r="A27" s="17" t="s">
        <v>336</v>
      </c>
      <c r="B27" s="17" t="s">
        <v>337</v>
      </c>
      <c r="C27" s="17" t="s">
        <v>338</v>
      </c>
      <c r="D27" s="17" t="s">
        <v>34</v>
      </c>
      <c r="E27" s="17" t="s">
        <v>203</v>
      </c>
      <c r="F27" s="17" t="s">
        <v>339</v>
      </c>
      <c r="G27" s="17" t="s">
        <v>324</v>
      </c>
      <c r="H27" s="17" t="s">
        <v>340</v>
      </c>
      <c r="I27" s="17" t="s">
        <v>310</v>
      </c>
      <c r="J27" s="17" t="s">
        <v>341</v>
      </c>
      <c r="K27" s="17" t="s">
        <v>342</v>
      </c>
      <c r="L27" s="17" t="s">
        <v>343</v>
      </c>
      <c r="M27" s="17" t="s">
        <v>344</v>
      </c>
      <c r="N27" s="17" t="s">
        <v>345</v>
      </c>
      <c r="O27" s="17" t="s">
        <v>255</v>
      </c>
      <c r="P27" s="17" t="s">
        <v>346</v>
      </c>
      <c r="Q27" s="17" t="s">
        <v>78</v>
      </c>
      <c r="R27" s="17" t="s">
        <v>47</v>
      </c>
      <c r="S27" s="17" t="s">
        <v>48</v>
      </c>
      <c r="T27" s="17" t="s">
        <v>347</v>
      </c>
      <c r="U27" s="17" t="s">
        <v>348</v>
      </c>
      <c r="V27" s="17" t="s">
        <v>349</v>
      </c>
      <c r="W27" s="20" t="str">
        <f t="shared" si="0"/>
        <v>Va al Utility Tree (hoja 3)</v>
      </c>
      <c r="X27" s="21" t="str">
        <f t="shared" si="1"/>
        <v>22/22</v>
      </c>
    </row>
    <row r="28" spans="1:24" customFormat="1" ht="43.5" customHeight="1">
      <c r="A28" s="17" t="s">
        <v>350</v>
      </c>
      <c r="B28" s="17" t="s">
        <v>351</v>
      </c>
      <c r="C28" s="17" t="s">
        <v>338</v>
      </c>
      <c r="D28" s="17" t="s">
        <v>34</v>
      </c>
      <c r="E28" s="17" t="s">
        <v>352</v>
      </c>
      <c r="F28" s="17" t="s">
        <v>353</v>
      </c>
      <c r="G28" s="17" t="s">
        <v>37</v>
      </c>
      <c r="H28" s="17" t="s">
        <v>354</v>
      </c>
      <c r="I28" s="17" t="s">
        <v>310</v>
      </c>
      <c r="J28" s="17" t="s">
        <v>355</v>
      </c>
      <c r="K28" s="17" t="s">
        <v>356</v>
      </c>
      <c r="L28" s="17" t="s">
        <v>357</v>
      </c>
      <c r="M28" s="17" t="s">
        <v>358</v>
      </c>
      <c r="N28" s="17" t="s">
        <v>359</v>
      </c>
      <c r="O28" s="17" t="s">
        <v>92</v>
      </c>
      <c r="P28" s="17" t="s">
        <v>360</v>
      </c>
      <c r="Q28" s="17" t="s">
        <v>47</v>
      </c>
      <c r="R28" s="17" t="s">
        <v>47</v>
      </c>
      <c r="S28" s="17" t="s">
        <v>48</v>
      </c>
      <c r="T28" s="17" t="s">
        <v>361</v>
      </c>
      <c r="U28" s="17" t="s">
        <v>362</v>
      </c>
      <c r="V28" s="17" t="s">
        <v>363</v>
      </c>
      <c r="W28" s="20" t="str">
        <f t="shared" si="0"/>
        <v>Va a Restricciones (hoja 4)</v>
      </c>
      <c r="X28" s="21" t="str">
        <f t="shared" si="1"/>
        <v>22/22</v>
      </c>
    </row>
    <row r="29" spans="1:24" customFormat="1" ht="43.5" customHeight="1">
      <c r="A29" s="17" t="s">
        <v>364</v>
      </c>
      <c r="B29" s="17" t="s">
        <v>365</v>
      </c>
      <c r="C29" s="17" t="s">
        <v>338</v>
      </c>
      <c r="D29" s="17" t="s">
        <v>34</v>
      </c>
      <c r="E29" s="17" t="s">
        <v>352</v>
      </c>
      <c r="F29" s="17" t="s">
        <v>366</v>
      </c>
      <c r="G29" s="17" t="s">
        <v>37</v>
      </c>
      <c r="H29" s="17" t="s">
        <v>115</v>
      </c>
      <c r="I29" s="17" t="s">
        <v>310</v>
      </c>
      <c r="J29" s="17" t="s">
        <v>367</v>
      </c>
      <c r="K29" s="17" t="s">
        <v>356</v>
      </c>
      <c r="L29" s="17" t="s">
        <v>119</v>
      </c>
      <c r="M29" s="17" t="s">
        <v>368</v>
      </c>
      <c r="N29" s="17" t="s">
        <v>369</v>
      </c>
      <c r="O29" s="17" t="s">
        <v>45</v>
      </c>
      <c r="P29" s="17" t="s">
        <v>370</v>
      </c>
      <c r="Q29" s="17" t="s">
        <v>47</v>
      </c>
      <c r="R29" s="17" t="s">
        <v>78</v>
      </c>
      <c r="S29" s="17" t="s">
        <v>48</v>
      </c>
      <c r="T29" s="17" t="s">
        <v>371</v>
      </c>
      <c r="U29" s="17" t="s">
        <v>372</v>
      </c>
      <c r="V29" s="17" t="s">
        <v>373</v>
      </c>
      <c r="W29" s="20" t="str">
        <f t="shared" si="0"/>
        <v>Va a Restricciones (hoja 4)</v>
      </c>
      <c r="X29" s="21" t="str">
        <f t="shared" si="1"/>
        <v>22/22</v>
      </c>
    </row>
    <row r="30" spans="1:24" customFormat="1" ht="49.5" customHeight="1">
      <c r="A30" s="17" t="s">
        <v>374</v>
      </c>
      <c r="B30" s="17" t="s">
        <v>375</v>
      </c>
      <c r="C30" s="17" t="s">
        <v>113</v>
      </c>
      <c r="D30" s="17" t="s">
        <v>34</v>
      </c>
      <c r="E30" s="17" t="s">
        <v>352</v>
      </c>
      <c r="F30" s="17" t="s">
        <v>376</v>
      </c>
      <c r="G30" s="17" t="s">
        <v>377</v>
      </c>
      <c r="H30" s="17" t="s">
        <v>378</v>
      </c>
      <c r="I30" s="17" t="s">
        <v>116</v>
      </c>
      <c r="J30" s="17" t="s">
        <v>379</v>
      </c>
      <c r="K30" s="17" t="s">
        <v>380</v>
      </c>
      <c r="L30" s="17" t="s">
        <v>381</v>
      </c>
      <c r="M30" s="17" t="s">
        <v>382</v>
      </c>
      <c r="N30" s="17" t="s">
        <v>383</v>
      </c>
      <c r="O30" s="17" t="s">
        <v>45</v>
      </c>
      <c r="P30" s="17" t="s">
        <v>384</v>
      </c>
      <c r="Q30" s="17" t="s">
        <v>78</v>
      </c>
      <c r="R30" s="17" t="s">
        <v>300</v>
      </c>
      <c r="S30" s="17" t="s">
        <v>48</v>
      </c>
      <c r="T30" s="17" t="s">
        <v>385</v>
      </c>
      <c r="U30" s="17" t="s">
        <v>386</v>
      </c>
      <c r="V30" s="17" t="s">
        <v>387</v>
      </c>
      <c r="W30" s="20" t="str">
        <f>IF(OR($E8="",$S8=""),"",IF($S8="No","No es ASR: gestionar fuera de la arquitectura",IF($S8="Por validar","Falta evidencia: conseguirla antes de decidir",IF($E8="Calidad","Va al Utility Tree (hoja 3)",IF($E8="Restricción","Va a Restricciones (hoja 4)","Va a Funciones críticas (hoja 4)")))))</f>
        <v>Va a Funciones críticas (hoja 4)</v>
      </c>
      <c r="X30" s="21" t="str">
        <f t="shared" si="1"/>
        <v>22/22</v>
      </c>
    </row>
    <row r="31" spans="1:24" customFormat="1" ht="49.5" customHeight="1">
      <c r="A31" s="17" t="s">
        <v>388</v>
      </c>
      <c r="B31" s="17" t="s">
        <v>389</v>
      </c>
      <c r="C31" s="17" t="s">
        <v>390</v>
      </c>
      <c r="D31" s="17" t="s">
        <v>34</v>
      </c>
      <c r="E31" s="17" t="s">
        <v>352</v>
      </c>
      <c r="F31" s="17" t="s">
        <v>391</v>
      </c>
      <c r="G31" s="17" t="s">
        <v>37</v>
      </c>
      <c r="H31" s="17" t="s">
        <v>392</v>
      </c>
      <c r="I31" s="17" t="s">
        <v>393</v>
      </c>
      <c r="J31" s="17" t="s">
        <v>394</v>
      </c>
      <c r="K31" s="17" t="s">
        <v>395</v>
      </c>
      <c r="L31" s="17" t="s">
        <v>396</v>
      </c>
      <c r="M31" s="17" t="s">
        <v>397</v>
      </c>
      <c r="N31" s="17" t="s">
        <v>398</v>
      </c>
      <c r="O31" s="17" t="s">
        <v>92</v>
      </c>
      <c r="P31" s="17" t="s">
        <v>399</v>
      </c>
      <c r="Q31" s="17" t="s">
        <v>47</v>
      </c>
      <c r="R31" s="17" t="s">
        <v>78</v>
      </c>
      <c r="S31" s="17" t="s">
        <v>48</v>
      </c>
      <c r="T31" s="17" t="s">
        <v>400</v>
      </c>
      <c r="U31" s="17" t="s">
        <v>401</v>
      </c>
      <c r="V31" s="17" t="s">
        <v>402</v>
      </c>
      <c r="W31" s="20" t="str">
        <f>IF(OR($E8="",$S8=""),"",IF($S8="No","No es ASR: gestionar fuera de la arquitectura",IF($S8="Por validar","Falta evidencia: conseguirla antes de decidir",IF($E8="Calidad","Va al Utility Tree (hoja 3)",IF($E8="Restricción","Va a Restricciones (hoja 4)","Va a Funciones críticas (hoja 4)")))))</f>
        <v>Va a Funciones críticas (hoja 4)</v>
      </c>
      <c r="X31" s="21" t="str">
        <f t="shared" si="1"/>
        <v>22/22</v>
      </c>
    </row>
    <row r="32" spans="1:24" customFormat="1" ht="49.5" customHeight="1">
      <c r="A32" s="17" t="s">
        <v>403</v>
      </c>
      <c r="B32" s="17" t="s">
        <v>404</v>
      </c>
      <c r="C32" s="17" t="s">
        <v>128</v>
      </c>
      <c r="D32" s="17" t="s">
        <v>34</v>
      </c>
      <c r="E32" s="17" t="s">
        <v>352</v>
      </c>
      <c r="F32" s="17" t="s">
        <v>405</v>
      </c>
      <c r="G32" s="17" t="s">
        <v>406</v>
      </c>
      <c r="H32" s="17" t="s">
        <v>407</v>
      </c>
      <c r="I32" s="17" t="s">
        <v>310</v>
      </c>
      <c r="J32" s="17" t="s">
        <v>408</v>
      </c>
      <c r="K32" s="17" t="s">
        <v>409</v>
      </c>
      <c r="L32" s="17" t="s">
        <v>410</v>
      </c>
      <c r="M32" s="17" t="s">
        <v>411</v>
      </c>
      <c r="N32" s="17" t="s">
        <v>412</v>
      </c>
      <c r="O32" s="17" t="s">
        <v>45</v>
      </c>
      <c r="P32" s="17" t="s">
        <v>413</v>
      </c>
      <c r="Q32" s="17" t="s">
        <v>78</v>
      </c>
      <c r="R32" s="17" t="s">
        <v>300</v>
      </c>
      <c r="S32" s="17" t="s">
        <v>48</v>
      </c>
      <c r="T32" s="17" t="s">
        <v>414</v>
      </c>
      <c r="U32" s="17" t="s">
        <v>415</v>
      </c>
      <c r="V32" s="17" t="s">
        <v>416</v>
      </c>
      <c r="W32" s="20" t="str">
        <f>IF(OR($E8="",$S8=""),"",IF($S8="No","No es ASR: gestionar fuera de la arquitectura",IF($S8="Por validar","Falta evidencia: conseguirla antes de decidir",IF($E8="Calidad","Va al Utility Tree (hoja 3)",IF($E8="Restricción","Va a Restricciones (hoja 4)","Va a Funciones críticas (hoja 4)")))))</f>
        <v>Va a Funciones críticas (hoja 4)</v>
      </c>
      <c r="X32" s="21" t="str">
        <f t="shared" si="1"/>
        <v>22/22</v>
      </c>
    </row>
    <row r="33" spans="1:24" customFormat="1" ht="49.5" customHeight="1">
      <c r="A33" s="17" t="s">
        <v>417</v>
      </c>
      <c r="B33" s="17" t="s">
        <v>418</v>
      </c>
      <c r="C33" s="17" t="s">
        <v>188</v>
      </c>
      <c r="D33" s="17" t="s">
        <v>34</v>
      </c>
      <c r="E33" s="17" t="s">
        <v>35</v>
      </c>
      <c r="F33" s="17" t="s">
        <v>419</v>
      </c>
      <c r="G33" s="17" t="s">
        <v>205</v>
      </c>
      <c r="H33" s="17" t="s">
        <v>206</v>
      </c>
      <c r="I33" s="17" t="s">
        <v>191</v>
      </c>
      <c r="J33" s="17" t="s">
        <v>420</v>
      </c>
      <c r="K33" s="17" t="s">
        <v>421</v>
      </c>
      <c r="L33" s="17" t="s">
        <v>422</v>
      </c>
      <c r="M33" s="17" t="s">
        <v>423</v>
      </c>
      <c r="N33" s="17" t="s">
        <v>424</v>
      </c>
      <c r="O33" s="17" t="s">
        <v>45</v>
      </c>
      <c r="P33" s="17" t="s">
        <v>425</v>
      </c>
      <c r="Q33" s="17" t="s">
        <v>78</v>
      </c>
      <c r="R33" s="17" t="s">
        <v>300</v>
      </c>
      <c r="S33" s="17" t="s">
        <v>426</v>
      </c>
      <c r="T33" s="17" t="s">
        <v>427</v>
      </c>
      <c r="U33" s="17" t="s">
        <v>428</v>
      </c>
      <c r="V33" s="17" t="s">
        <v>429</v>
      </c>
      <c r="W33" s="20" t="str">
        <f>IF(OR($E8="",$S8=""),"",IF($S8="No","No es ASR: gestionar fuera de la arquitectura",IF($S8="Por validar","Falta evidencia: conseguirla antes de decidir",IF($E8="Calidad","Va al Utility Tree (hoja 3)",IF($E8="Restricción","Va a Restricciones (hoja 4)","Va a Funciones críticas (hoja 4)")))))</f>
        <v>Va a Funciones críticas (hoja 4)</v>
      </c>
      <c r="X33" s="21" t="str">
        <f t="shared" si="1"/>
        <v>22/22</v>
      </c>
    </row>
    <row r="34" spans="1:24" customFormat="1" ht="43.5" customHeight="1">
      <c r="A34" s="22"/>
      <c r="B34" s="22"/>
      <c r="C34" s="22"/>
      <c r="D34" s="22"/>
      <c r="E34" s="22"/>
      <c r="F34" s="22"/>
      <c r="G34" s="22"/>
      <c r="H34" s="22"/>
      <c r="I34" s="22"/>
      <c r="J34" s="22"/>
      <c r="K34" s="22"/>
      <c r="L34" s="22"/>
      <c r="M34" s="22"/>
      <c r="N34" s="22"/>
      <c r="O34" s="22"/>
      <c r="P34" s="22"/>
      <c r="Q34" s="22"/>
      <c r="R34" s="22"/>
      <c r="S34" s="22"/>
      <c r="T34" s="22"/>
      <c r="U34" s="22"/>
      <c r="V34" s="22"/>
      <c r="W34" s="20" t="str">
        <f>IF(OR($E30="",$S30=""),"",IF($S30="No","No es ASR: gestionar fuera de la arquitectura",IF($S30="Por validar","Falta evidencia: conseguirla antes de decidir",IF($E30="Calidad","Va al Utility Tree (hoja 3)",IF($E30="Restricción","Va a Restricciones (hoja 4)","Va a Funciones críticas (hoja 4)")))))</f>
        <v>Va a Restricciones (hoja 4)</v>
      </c>
      <c r="X34" s="21" t="str">
        <f>IF(COUNTA($A30:$V30)=0,"",COUNTA($A30:$V30)&amp;"/22")</f>
        <v>22/22</v>
      </c>
    </row>
    <row r="35" spans="1:24" customFormat="1" ht="13.15">
      <c r="A35" s="1"/>
      <c r="B35" s="1"/>
      <c r="C35" s="1"/>
      <c r="D35" s="1"/>
      <c r="E35" s="1"/>
      <c r="F35" s="1"/>
      <c r="G35" s="1"/>
      <c r="H35" s="1"/>
      <c r="I35" s="1"/>
      <c r="J35" s="1"/>
      <c r="K35" s="1"/>
      <c r="L35" s="1"/>
      <c r="M35" s="1"/>
      <c r="N35" s="1"/>
      <c r="O35" s="1"/>
      <c r="P35" s="1"/>
      <c r="Q35" s="1"/>
      <c r="R35" s="1"/>
      <c r="S35" s="1"/>
      <c r="T35" s="1"/>
      <c r="U35" s="1"/>
      <c r="V35" s="1"/>
      <c r="W35" s="1"/>
      <c r="X35" s="1"/>
    </row>
    <row r="36" spans="1:24" customFormat="1" ht="19.5" customHeight="1">
      <c r="A36" s="1"/>
      <c r="B36" s="1"/>
      <c r="C36" s="1"/>
      <c r="D36" s="1"/>
      <c r="E36" s="1"/>
      <c r="F36" s="1"/>
      <c r="G36" s="1"/>
      <c r="H36" s="1"/>
      <c r="I36" s="1"/>
      <c r="J36" s="1"/>
      <c r="K36" s="1"/>
      <c r="L36" s="1"/>
      <c r="M36" s="1"/>
      <c r="N36" s="1"/>
      <c r="O36" s="1"/>
      <c r="P36" s="1"/>
      <c r="Q36" s="1"/>
      <c r="R36" s="1"/>
      <c r="S36" s="1"/>
      <c r="T36" s="1"/>
      <c r="U36" s="1"/>
      <c r="V36" s="1"/>
      <c r="W36" s="1"/>
      <c r="X36" s="1"/>
    </row>
    <row r="37" spans="1:24" customFormat="1" ht="25.5" customHeight="1">
      <c r="A37" s="1"/>
      <c r="B37" s="1"/>
      <c r="C37" s="1"/>
      <c r="D37" s="1"/>
      <c r="E37" s="1"/>
      <c r="F37" s="1"/>
      <c r="G37" s="1"/>
      <c r="H37" s="1"/>
      <c r="I37" s="1"/>
      <c r="J37" s="1"/>
      <c r="K37" s="1"/>
      <c r="L37" s="1"/>
      <c r="M37" s="1"/>
      <c r="N37" s="1"/>
      <c r="O37" s="1"/>
      <c r="P37" s="1"/>
      <c r="Q37" s="1"/>
      <c r="R37" s="1"/>
      <c r="S37" s="1"/>
      <c r="T37" s="1"/>
      <c r="U37" s="1"/>
      <c r="V37" s="1"/>
      <c r="W37" s="1"/>
      <c r="X37" s="1"/>
    </row>
    <row r="38" spans="1:24" customFormat="1" ht="25.5" customHeight="1">
      <c r="A38" s="1"/>
      <c r="B38" s="1"/>
      <c r="C38" s="1"/>
      <c r="D38" s="1"/>
      <c r="E38" s="1"/>
      <c r="F38" s="1"/>
      <c r="G38" s="1"/>
      <c r="H38" s="1"/>
      <c r="I38" s="1"/>
      <c r="J38" s="1"/>
      <c r="K38" s="1"/>
      <c r="L38" s="1"/>
      <c r="M38" s="1"/>
      <c r="N38" s="1"/>
      <c r="O38" s="1"/>
      <c r="P38" s="1"/>
      <c r="Q38" s="1"/>
      <c r="R38" s="1"/>
      <c r="S38" s="1"/>
      <c r="T38" s="1"/>
      <c r="U38" s="1"/>
      <c r="V38" s="1"/>
      <c r="W38" s="1"/>
      <c r="X38" s="1"/>
    </row>
    <row r="39" spans="1:24" customFormat="1" ht="25.5" customHeight="1">
      <c r="A39" s="1"/>
      <c r="B39" s="1"/>
      <c r="C39" s="1"/>
      <c r="D39" s="1"/>
      <c r="E39" s="1"/>
      <c r="F39" s="1"/>
      <c r="G39" s="1"/>
      <c r="H39" s="1"/>
      <c r="I39" s="1"/>
      <c r="J39" s="1"/>
      <c r="K39" s="1"/>
      <c r="L39" s="1"/>
      <c r="M39" s="1"/>
      <c r="N39" s="1"/>
      <c r="O39" s="1"/>
      <c r="P39" s="1"/>
      <c r="Q39" s="1"/>
      <c r="R39" s="1"/>
      <c r="S39" s="1"/>
      <c r="T39" s="1"/>
      <c r="U39" s="1"/>
      <c r="V39" s="1"/>
      <c r="W39" s="1"/>
      <c r="X39" s="1"/>
    </row>
    <row r="40" spans="1:24" customFormat="1" ht="25.5" customHeight="1">
      <c r="A40" s="1"/>
      <c r="B40" s="1"/>
      <c r="C40" s="1"/>
      <c r="D40" s="1"/>
      <c r="E40" s="1"/>
      <c r="F40" s="1"/>
      <c r="G40" s="1"/>
      <c r="H40" s="1"/>
      <c r="I40" s="1"/>
      <c r="J40" s="1"/>
      <c r="K40" s="1"/>
      <c r="L40" s="1"/>
      <c r="M40" s="1"/>
      <c r="N40" s="1"/>
      <c r="O40" s="1"/>
      <c r="P40" s="1"/>
      <c r="Q40" s="1"/>
      <c r="R40" s="1"/>
      <c r="S40" s="1"/>
      <c r="T40" s="1"/>
      <c r="U40" s="1"/>
      <c r="V40" s="1"/>
      <c r="W40" s="1"/>
      <c r="X40" s="1"/>
    </row>
    <row r="41" spans="1:24" customFormat="1" ht="25.5" customHeight="1">
      <c r="A41" s="1"/>
      <c r="B41" s="1"/>
      <c r="C41" s="1"/>
      <c r="D41" s="1"/>
      <c r="E41" s="1"/>
      <c r="F41" s="1"/>
      <c r="G41" s="1"/>
      <c r="H41" s="1"/>
      <c r="I41" s="1"/>
      <c r="J41" s="1"/>
      <c r="K41" s="1"/>
      <c r="L41" s="1"/>
      <c r="M41" s="1"/>
      <c r="N41" s="1"/>
      <c r="O41" s="1"/>
      <c r="P41" s="1"/>
      <c r="Q41" s="1"/>
      <c r="R41" s="1"/>
      <c r="S41" s="1"/>
      <c r="T41" s="1"/>
      <c r="U41" s="1"/>
      <c r="V41" s="1"/>
      <c r="W41" s="1"/>
      <c r="X41" s="1"/>
    </row>
    <row r="42" spans="1:24" customFormat="1" ht="13.15">
      <c r="A42" s="1"/>
      <c r="B42" s="1"/>
      <c r="C42" s="1"/>
      <c r="D42" s="1"/>
      <c r="E42" s="1"/>
      <c r="F42" s="1"/>
      <c r="G42" s="1"/>
      <c r="H42" s="1"/>
      <c r="I42" s="1"/>
      <c r="J42" s="1"/>
      <c r="K42" s="1"/>
      <c r="L42" s="1"/>
      <c r="M42" s="1"/>
      <c r="N42" s="1"/>
      <c r="O42" s="1"/>
      <c r="P42" s="1"/>
      <c r="Q42" s="1"/>
      <c r="R42" s="1"/>
      <c r="S42" s="1"/>
      <c r="T42" s="1"/>
      <c r="U42" s="1"/>
      <c r="V42" s="1"/>
      <c r="W42" s="1"/>
      <c r="X42" s="1"/>
    </row>
    <row r="43" spans="1:24" customFormat="1" ht="24" customHeight="1">
      <c r="A43" s="1"/>
      <c r="B43" s="1"/>
      <c r="C43" s="1"/>
      <c r="D43" s="1"/>
      <c r="E43" s="1"/>
      <c r="F43" s="1"/>
      <c r="G43" s="1"/>
      <c r="H43" s="1"/>
      <c r="I43" s="1"/>
      <c r="J43" s="1"/>
      <c r="K43" s="1"/>
      <c r="L43" s="1"/>
      <c r="M43" s="1"/>
      <c r="N43" s="1"/>
      <c r="O43" s="1"/>
      <c r="P43" s="1"/>
      <c r="Q43" s="1"/>
      <c r="R43" s="1"/>
      <c r="S43" s="1"/>
      <c r="T43" s="1"/>
      <c r="U43" s="1"/>
      <c r="V43" s="1"/>
      <c r="W43" s="1"/>
      <c r="X43" s="1"/>
    </row>
    <row r="44" spans="1:24" customFormat="1" ht="13.15">
      <c r="A44" s="1"/>
      <c r="B44" s="1"/>
      <c r="C44" s="1"/>
      <c r="D44" s="1"/>
      <c r="E44" s="1"/>
      <c r="F44" s="1"/>
      <c r="G44" s="1"/>
      <c r="H44" s="1"/>
      <c r="I44" s="1"/>
      <c r="J44" s="1"/>
      <c r="K44" s="1"/>
      <c r="L44" s="1"/>
      <c r="M44" s="1"/>
      <c r="N44" s="1"/>
      <c r="O44" s="1"/>
      <c r="P44" s="1"/>
      <c r="Q44" s="1"/>
      <c r="R44" s="1"/>
      <c r="S44" s="1"/>
      <c r="T44" s="1"/>
      <c r="U44" s="1"/>
      <c r="V44" s="1"/>
      <c r="W44" s="1"/>
      <c r="X44" s="1"/>
    </row>
    <row r="45" spans="1:24" customFormat="1" ht="13.15">
      <c r="A45" s="15" t="s">
        <v>430</v>
      </c>
      <c r="B45" s="1"/>
      <c r="C45" s="1"/>
      <c r="D45" s="1"/>
      <c r="E45" s="1"/>
      <c r="F45" s="1"/>
      <c r="G45" s="1"/>
      <c r="H45" s="1"/>
      <c r="I45" s="1"/>
      <c r="J45" s="1"/>
      <c r="K45" s="1"/>
      <c r="L45" s="1"/>
      <c r="M45" s="1"/>
      <c r="N45" s="1"/>
      <c r="O45" s="1"/>
      <c r="P45" s="1"/>
      <c r="Q45" s="1"/>
      <c r="R45" s="1"/>
      <c r="S45" s="1"/>
      <c r="T45" s="1"/>
      <c r="U45" s="1"/>
      <c r="V45" s="1"/>
      <c r="W45" s="1"/>
      <c r="X45" s="1"/>
    </row>
    <row r="46" spans="1:24" ht="13.15"/>
  </sheetData>
  <mergeCells count="7">
    <mergeCell ref="S5:V5"/>
    <mergeCell ref="W5:X5"/>
    <mergeCell ref="A5:D5"/>
    <mergeCell ref="E5:H5"/>
    <mergeCell ref="I5:N5"/>
    <mergeCell ref="O5:P5"/>
    <mergeCell ref="Q5:R5"/>
  </mergeCells>
  <dataValidations count="5">
    <dataValidation type="list" allowBlank="1" errorTitle="Valor no permitido" error="Seleccione un valor de la lista." sqref="E7:E34" xr:uid="{762B2B41-5F4E-4EFA-8299-A0827B13EF21}">
      <formula1>"Funcional,Calidad,Restricción"</formula1>
    </dataValidation>
    <dataValidation type="list" allowBlank="1" errorTitle="Valor no permitido" error="Seleccione un valor de la lista." sqref="G7:G34" xr:uid="{E3595024-8BAD-46B9-8A2E-76D7135B17F4}">
      <formula1>"Adecuación funcional,Eficiencia de desempeño,Compatibilidad,Capacidad de interacción,Fiabilidad,Seguridad,Mantenibilidad,Flexibilidad,Seguridad operacional"</formula1>
    </dataValidation>
    <dataValidation type="list" allowBlank="1" errorTitle="Valor no permitido" error="Seleccione un valor de la lista." sqref="O7:O34" xr:uid="{FFA13A1F-B3F2-4CAA-8984-7BC38EF16620}">
      <formula1>"Componente,Conector o integración,Contrato de API,Límite de contexto o módulo,Modelo o almacenamiento de datos,Política transversal,Despliegue e infraestructura,Mecanismo compartido"</formula1>
    </dataValidation>
    <dataValidation type="list" allowBlank="1" errorTitle="Valor no permitido" error="Seleccione un valor de la lista." sqref="Q7:R34" xr:uid="{0588F04C-7253-4CD6-BF77-E1D64CE7EC4B}">
      <formula1>"Alta,Media,Baja,Por validar"</formula1>
    </dataValidation>
    <dataValidation type="list" allowBlank="1" errorTitle="Valor no permitido" error="Seleccione un valor de la lista." sqref="S7:S34" xr:uid="{70324D11-DAD3-4C01-A81F-FF3B61F3FD90}">
      <formula1>"Sí,No,Por validar"</formula1>
    </dataValidation>
  </dataValidations>
  <pageMargins left="0.75000000000000011" right="0.75000000000000011" top="1" bottom="1" header="0.51180000000000003" footer="0.51180000000000003"/>
  <pageSetup paperSize="0"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CC7F-26CB-4B37-8F33-F4E74C8DB5FA}">
  <sheetPr>
    <tabColor rgb="FF0067AD"/>
  </sheetPr>
  <dimension ref="A1:I71"/>
  <sheetViews>
    <sheetView workbookViewId="0">
      <selection activeCell="H19" sqref="H19"/>
    </sheetView>
  </sheetViews>
  <sheetFormatPr defaultColWidth="8.42578125" defaultRowHeight="14.45"/>
  <cols>
    <col min="1" max="1" width="2.85546875" style="1" customWidth="1"/>
    <col min="2" max="2" width="9.7109375" style="1" customWidth="1"/>
    <col min="3" max="3" width="25.28515625" style="1" customWidth="1"/>
    <col min="4" max="4" width="27.28515625" style="1" customWidth="1"/>
    <col min="5" max="5" width="29.140625" style="1" customWidth="1"/>
    <col min="6" max="7" width="8.7109375" style="1" customWidth="1"/>
    <col min="8" max="8" width="11.7109375" style="1" customWidth="1"/>
    <col min="9" max="9" width="42.7109375" style="1" customWidth="1"/>
    <col min="10" max="10" width="8.42578125" style="1" customWidth="1"/>
    <col min="11" max="16384" width="8.42578125" style="1"/>
  </cols>
  <sheetData>
    <row r="1" spans="2:9" ht="25.5" customHeight="1">
      <c r="B1" s="2" t="s">
        <v>431</v>
      </c>
    </row>
    <row r="2" spans="2:9" ht="13.15">
      <c r="B2" s="3" t="s">
        <v>432</v>
      </c>
    </row>
    <row r="3" spans="2:9" ht="3.75" customHeight="1">
      <c r="B3" s="4"/>
      <c r="C3" s="4"/>
      <c r="D3" s="4"/>
      <c r="E3" s="4"/>
      <c r="F3" s="4"/>
      <c r="G3" s="4"/>
      <c r="H3" s="4"/>
      <c r="I3" s="4"/>
    </row>
    <row r="4" spans="2:9" ht="13.15"/>
    <row r="5" spans="2:9" ht="19.5" customHeight="1">
      <c r="B5" s="5" t="s">
        <v>433</v>
      </c>
      <c r="C5" s="6"/>
      <c r="D5" s="6"/>
      <c r="E5" s="6"/>
      <c r="F5" s="6"/>
      <c r="G5" s="6"/>
      <c r="H5" s="6"/>
      <c r="I5" s="6"/>
    </row>
    <row r="6" spans="2:9" ht="75.75" customHeight="1">
      <c r="B6" s="53" t="s">
        <v>434</v>
      </c>
      <c r="C6" s="53"/>
      <c r="D6" s="53"/>
      <c r="E6" s="53"/>
      <c r="F6" s="53"/>
      <c r="G6" s="53"/>
      <c r="H6" s="53"/>
      <c r="I6" s="53"/>
    </row>
    <row r="7" spans="2:9" ht="13.15"/>
    <row r="8" spans="2:9" ht="19.5" customHeight="1">
      <c r="B8" s="5" t="s">
        <v>435</v>
      </c>
      <c r="C8" s="6"/>
      <c r="D8" s="6"/>
      <c r="E8" s="6"/>
      <c r="F8" s="6"/>
      <c r="G8" s="6"/>
      <c r="H8" s="6"/>
      <c r="I8" s="6"/>
    </row>
    <row r="9" spans="2:9" ht="39.75" customHeight="1">
      <c r="B9" s="7" t="s">
        <v>8</v>
      </c>
      <c r="C9" s="7" t="s">
        <v>436</v>
      </c>
      <c r="D9" s="7" t="s">
        <v>437</v>
      </c>
      <c r="E9" s="7" t="s">
        <v>438</v>
      </c>
      <c r="F9" s="7" t="s">
        <v>439</v>
      </c>
      <c r="G9" s="7" t="s">
        <v>440</v>
      </c>
      <c r="H9" s="7" t="s">
        <v>441</v>
      </c>
      <c r="I9" s="7" t="s">
        <v>442</v>
      </c>
    </row>
    <row r="10" spans="2:9" ht="30" customHeight="1">
      <c r="B10" s="25" t="s">
        <v>201</v>
      </c>
      <c r="C10" s="12" t="str">
        <f>IF($B10="","",IFERROR(INDEX('1__Matriz_ASR'!$G$7:$G$33,MATCH($B10,'1__Matriz_ASR'!$A$7:$A$33,0)),"ID no encontrado"))</f>
        <v>Eficiencia de desempeño</v>
      </c>
      <c r="D10" s="12" t="str">
        <f>IF($B10="","",IFERROR(INDEX('1__Matriz_ASR'!$H$7:$H$33,MATCH($B10,'1__Matriz_ASR'!$A$7:$A$33,0)),"ID no encontrado"))</f>
        <v>Comportamiento temporal</v>
      </c>
      <c r="E10" s="12" t="str">
        <f>IF($B10="","",IFERROR(INDEX('1__Matriz_ASR'!$B$7:$B$33,MATCH($B10,'1__Matriz_ASR'!$A$7:$A$33,0)),"ID no encontrado"))</f>
        <v>Rendimiento de consultas de documentos y trazabilidad</v>
      </c>
      <c r="F10" s="26" t="str">
        <f>IF($B10="","",IFERROR(INDEX('1__Matriz_ASR'!$Q$7:$Q$33,MATCH($B10,'1__Matriz_ASR'!$A$7:$A$33,0)),"ID no encontrado"))</f>
        <v>Media</v>
      </c>
      <c r="G10" s="26" t="str">
        <f>IF($B10="","",IFERROR(INDEX('1__Matriz_ASR'!$R$7:$R$33,MATCH($B10,'1__Matriz_ASR'!$A$7:$A$33,0)),"ID no encontrado"))</f>
        <v>Media</v>
      </c>
      <c r="H10" s="27" t="str">
        <f t="shared" ref="H10:H27" si="0">IF($B10="","","("&amp;$F10&amp;", "&amp;$G10&amp;")")</f>
        <v>(Media, Media)</v>
      </c>
      <c r="I10" s="24" t="str">
        <f>IF($B10="","",IF(ISERROR(MATCH($B10,'1__Matriz_ASR'!$A$7:$A$33,0)),"Ese ID no existe en la hoja 1",IF(AND(INDEX('1__Matriz_ASR'!$E$7:$E$33,MATCH($B10,'1__Matriz_ASR'!$A$7:$A$33,0))="Calidad",INDEX('1__Matriz_ASR'!$S$7:$S$33,MATCH($B10,'1__Matriz_ASR'!$A$7:$A$33,0))="Sí"),"Correcto: es escenario de calidad aprobado","Retirar: solo van escenarios de tipo Calidad con dictamen Sí")))</f>
        <v>Correcto: es escenario de calidad aprobado</v>
      </c>
    </row>
    <row r="11" spans="2:9" ht="30" customHeight="1">
      <c r="B11" s="25" t="s">
        <v>216</v>
      </c>
      <c r="C11" s="12" t="str">
        <f>IF($B11="","",IFERROR(INDEX('1__Matriz_ASR'!$G$7:$G$33,MATCH($B11,'1__Matriz_ASR'!$A$7:$A$33,0)),"ID no encontrado"))</f>
        <v>Eficiencia de desempeño</v>
      </c>
      <c r="D11" s="12" t="str">
        <f>IF($B11="","",IFERROR(INDEX('1__Matriz_ASR'!$H$7:$H$33,MATCH($B11,'1__Matriz_ASR'!$A$7:$A$33,0)),"ID no encontrado"))</f>
        <v>Comportamiento temporal</v>
      </c>
      <c r="E11" s="12" t="str">
        <f>IF($B11="","",IFERROR(INDEX('1__Matriz_ASR'!$B$7:$B$33,MATCH($B11,'1__Matriz_ASR'!$A$7:$A$33,0)),"ID no encontrado"))</f>
        <v>Rendimiento de la verificación de integridad</v>
      </c>
      <c r="F11" s="26" t="str">
        <f>IF($B11="","",IFERROR(INDEX('1__Matriz_ASR'!$Q$7:$Q$33,MATCH($B11,'1__Matriz_ASR'!$A$7:$A$33,0)),"ID no encontrado"))</f>
        <v>Alta</v>
      </c>
      <c r="G11" s="26" t="str">
        <f>IF($B11="","",IFERROR(INDEX('1__Matriz_ASR'!$R$7:$R$33,MATCH($B11,'1__Matriz_ASR'!$A$7:$A$33,0)),"ID no encontrado"))</f>
        <v>Media</v>
      </c>
      <c r="H11" s="27" t="str">
        <f t="shared" si="0"/>
        <v>(Alta, Media)</v>
      </c>
      <c r="I11" s="24" t="str">
        <f>IF($B11="","",IF(ISERROR(MATCH($B11,'1__Matriz_ASR'!$A$7:$A$33,0)),"Ese ID no existe en la hoja 1",IF(AND(INDEX('1__Matriz_ASR'!$E$7:$E$33,MATCH($B11,'1__Matriz_ASR'!$A$7:$A$33,0))="Calidad",INDEX('1__Matriz_ASR'!$S$7:$S$33,MATCH($B11,'1__Matriz_ASR'!$A$7:$A$33,0))="Sí"),"Correcto: es escenario de calidad aprobado","Retirar: solo van escenarios de tipo Calidad con dictamen Sí")))</f>
        <v>Correcto: es escenario de calidad aprobado</v>
      </c>
    </row>
    <row r="12" spans="2:9" ht="30" customHeight="1">
      <c r="B12" s="25" t="s">
        <v>229</v>
      </c>
      <c r="C12" s="12" t="str">
        <f>IF($B12="","",IFERROR(INDEX('1__Matriz_ASR'!$G$7:$G$33,MATCH($B12,'1__Matriz_ASR'!$A$7:$A$33,0)),"ID no encontrado"))</f>
        <v>Fiabilidad</v>
      </c>
      <c r="D12" s="12" t="str">
        <f>IF($B12="","",IFERROR(INDEX('1__Matriz_ASR'!$H$7:$H$33,MATCH($B12,'1__Matriz_ASR'!$A$7:$A$33,0)),"ID no encontrado"))</f>
        <v>Disponibilidad</v>
      </c>
      <c r="E12" s="12" t="str">
        <f>IF($B12="","",IFERROR(INDEX('1__Matriz_ASR'!$B$7:$B$33,MATCH($B12,'1__Matriz_ASR'!$A$7:$A$33,0)),"ID no encontrado"))</f>
        <v>Disponibilidad del MVP ≥ 95%</v>
      </c>
      <c r="F12" s="26" t="str">
        <f>IF($B12="","",IFERROR(INDEX('1__Matriz_ASR'!$Q$7:$Q$33,MATCH($B12,'1__Matriz_ASR'!$A$7:$A$33,0)),"ID no encontrado"))</f>
        <v>Alta</v>
      </c>
      <c r="G12" s="26" t="str">
        <f>IF($B12="","",IFERROR(INDEX('1__Matriz_ASR'!$R$7:$R$33,MATCH($B12,'1__Matriz_ASR'!$A$7:$A$33,0)),"ID no encontrado"))</f>
        <v>Media</v>
      </c>
      <c r="H12" s="27" t="str">
        <f t="shared" si="0"/>
        <v>(Alta, Media)</v>
      </c>
      <c r="I12" s="24" t="str">
        <f>IF($B12="","",IF(ISERROR(MATCH($B12,'1__Matriz_ASR'!$A$7:$A$33,0)),"Ese ID no existe en la hoja 1",IF(AND(INDEX('1__Matriz_ASR'!$E$7:$E$33,MATCH($B12,'1__Matriz_ASR'!$A$7:$A$33,0))="Calidad",INDEX('1__Matriz_ASR'!$S$7:$S$33,MATCH($B12,'1__Matriz_ASR'!$A$7:$A$33,0))="Sí"),"Correcto: es escenario de calidad aprobado","Retirar: solo van escenarios de tipo Calidad con dictamen Sí")))</f>
        <v>Correcto: es escenario de calidad aprobado</v>
      </c>
    </row>
    <row r="13" spans="2:9" ht="30" customHeight="1">
      <c r="B13" s="25" t="s">
        <v>244</v>
      </c>
      <c r="C13" s="12" t="str">
        <f>IF($B13="","",IFERROR(INDEX('1__Matriz_ASR'!$G$7:$G$33,MATCH($B13,'1__Matriz_ASR'!$A$7:$A$33,0)),"ID no encontrado"))</f>
        <v>Fiabilidad</v>
      </c>
      <c r="D13" s="12" t="str">
        <f>IF($B13="","",IFERROR(INDEX('1__Matriz_ASR'!$H$7:$H$33,MATCH($B13,'1__Matriz_ASR'!$A$7:$A$33,0)),"ID no encontrado"))</f>
        <v>Tolerancia a fallos</v>
      </c>
      <c r="E13" s="12" t="str">
        <f>IF($B13="","",IFERROR(INDEX('1__Matriz_ASR'!$B$7:$B$33,MATCH($B13,'1__Matriz_ASR'!$A$7:$A$33,0)),"ID no encontrado"))</f>
        <v>Consistencia entre MongoDB y Hyperledger Fabric</v>
      </c>
      <c r="F13" s="26" t="str">
        <f>IF($B13="","",IFERROR(INDEX('1__Matriz_ASR'!$Q$7:$Q$33,MATCH($B13,'1__Matriz_ASR'!$A$7:$A$33,0)),"ID no encontrado"))</f>
        <v>Alta</v>
      </c>
      <c r="G13" s="26" t="str">
        <f>IF($B13="","",IFERROR(INDEX('1__Matriz_ASR'!$R$7:$R$33,MATCH($B13,'1__Matriz_ASR'!$A$7:$A$33,0)),"ID no encontrado"))</f>
        <v>Alta</v>
      </c>
      <c r="H13" s="27" t="str">
        <f t="shared" si="0"/>
        <v>(Alta, Alta)</v>
      </c>
      <c r="I13" s="24" t="str">
        <f>IF($B13="","",IF(ISERROR(MATCH($B13,'1__Matriz_ASR'!$A$7:$A$33,0)),"Ese ID no existe en la hoja 1",IF(AND(INDEX('1__Matriz_ASR'!$E$7:$E$33,MATCH($B13,'1__Matriz_ASR'!$A$7:$A$33,0))="Calidad",INDEX('1__Matriz_ASR'!$S$7:$S$33,MATCH($B13,'1__Matriz_ASR'!$A$7:$A$33,0))="Sí"),"Correcto: es escenario de calidad aprobado","Retirar: solo van escenarios de tipo Calidad con dictamen Sí")))</f>
        <v>Correcto: es escenario de calidad aprobado</v>
      </c>
    </row>
    <row r="14" spans="2:9" ht="30" customHeight="1">
      <c r="B14" s="25" t="s">
        <v>260</v>
      </c>
      <c r="C14" s="28" t="str">
        <f>IF($B14="","",IFERROR(INDEX('1__Matriz_ASR'!$G$7:$G$33,MATCH($B14,'1__Matriz_ASR'!$A$7:$A$33,0)),"ID no encontrado"))</f>
        <v>Seguridad</v>
      </c>
      <c r="D14" s="12" t="str">
        <f>IF($B14="","",IFERROR(INDEX('1__Matriz_ASR'!$H$7:$H$33,MATCH($B14,'1__Matriz_ASR'!$A$7:$A$33,0)),"ID no encontrado"))</f>
        <v>Integridad y no repudio</v>
      </c>
      <c r="E14" s="12" t="str">
        <f>IF($B14="","",IFERROR(INDEX('1__Matriz_ASR'!$B$7:$B$33,MATCH($B14,'1__Matriz_ASR'!$A$7:$A$33,0)),"ID no encontrado"))</f>
        <v>Inmutabilidad de la evidencia en blockchain</v>
      </c>
      <c r="F14" s="26" t="str">
        <f>IF($B14="","",IFERROR(INDEX('1__Matriz_ASR'!$Q$7:$Q$33,MATCH($B14,'1__Matriz_ASR'!$A$7:$A$33,0)),"ID no encontrado"))</f>
        <v>Alta</v>
      </c>
      <c r="G14" s="26" t="str">
        <f>IF($B14="","",IFERROR(INDEX('1__Matriz_ASR'!$R$7:$R$33,MATCH($B14,'1__Matriz_ASR'!$A$7:$A$33,0)),"ID no encontrado"))</f>
        <v>Alta</v>
      </c>
      <c r="H14" s="27" t="str">
        <f t="shared" si="0"/>
        <v>(Alta, Alta)</v>
      </c>
      <c r="I14" s="24" t="str">
        <f>IF($B14="","",IF(ISERROR(MATCH($B14,'1__Matriz_ASR'!$A$7:$A$33,0)),"Ese ID no existe en la hoja 1",IF(AND(INDEX('1__Matriz_ASR'!$E$7:$E$33,MATCH($B14,'1__Matriz_ASR'!$A$7:$A$33,0))="Calidad",INDEX('1__Matriz_ASR'!$S$7:$S$33,MATCH($B14,'1__Matriz_ASR'!$A$7:$A$33,0))="Sí"),"Correcto: es escenario de calidad aprobado","Retirar: solo van escenarios de tipo Calidad con dictamen Sí")))</f>
        <v>Correcto: es escenario de calidad aprobado</v>
      </c>
    </row>
    <row r="15" spans="2:9" ht="30" customHeight="1">
      <c r="B15" s="25" t="s">
        <v>274</v>
      </c>
      <c r="C15" s="12" t="str">
        <f>IF($B15="","",IFERROR(INDEX('1__Matriz_ASR'!$G$7:$G$33,MATCH($B15,'1__Matriz_ASR'!$A$7:$A$33,0)),"ID no encontrado"))</f>
        <v>Fiabilidad</v>
      </c>
      <c r="D15" s="12" t="str">
        <f>IF($B15="","",IFERROR(INDEX('1__Matriz_ASR'!$H$7:$H$33,MATCH($B15,'1__Matriz_ASR'!$A$7:$A$33,0)),"ID no encontrado"))</f>
        <v>Correctitud y confiabilidad</v>
      </c>
      <c r="E15" s="12" t="str">
        <f>IF($B15="","",IFERROR(INDEX('1__Matriz_ASR'!$B$7:$B$33,MATCH($B15,'1__Matriz_ASR'!$A$7:$A$33,0)),"ID no encontrado"))</f>
        <v>Detección confiable de alteraciones documentales</v>
      </c>
      <c r="F15" s="26" t="str">
        <f>IF($B15="","",IFERROR(INDEX('1__Matriz_ASR'!$Q$7:$Q$33,MATCH($B15,'1__Matriz_ASR'!$A$7:$A$33,0)),"ID no encontrado"))</f>
        <v>Alta</v>
      </c>
      <c r="G15" s="26" t="str">
        <f>IF($B15="","",IFERROR(INDEX('1__Matriz_ASR'!$R$7:$R$33,MATCH($B15,'1__Matriz_ASR'!$A$7:$A$33,0)),"ID no encontrado"))</f>
        <v>Media</v>
      </c>
      <c r="H15" s="27" t="str">
        <f t="shared" si="0"/>
        <v>(Alta, Media)</v>
      </c>
      <c r="I15" s="24" t="str">
        <f>IF($B15="","",IF(ISERROR(MATCH($B15,'1__Matriz_ASR'!$A$7:$A$33,0)),"Ese ID no existe en la hoja 1",IF(AND(INDEX('1__Matriz_ASR'!$E$7:$E$33,MATCH($B15,'1__Matriz_ASR'!$A$7:$A$33,0))="Calidad",INDEX('1__Matriz_ASR'!$S$7:$S$33,MATCH($B15,'1__Matriz_ASR'!$A$7:$A$33,0))="Sí"),"Correcto: es escenario de calidad aprobado","Retirar: solo van escenarios de tipo Calidad con dictamen Sí")))</f>
        <v>Correcto: es escenario de calidad aprobado</v>
      </c>
    </row>
    <row r="16" spans="2:9" ht="30" customHeight="1">
      <c r="B16" s="25" t="s">
        <v>288</v>
      </c>
      <c r="C16" s="12" t="str">
        <f>IF($B16="","",IFERROR(INDEX('1__Matriz_ASR'!$G$7:$G$33,MATCH($B16,'1__Matriz_ASR'!$A$7:$A$33,0)),"ID no encontrado"))</f>
        <v>Capacidad de interacción</v>
      </c>
      <c r="D16" s="12" t="str">
        <f>IF($B16="","",IFERROR(INDEX('1__Matriz_ASR'!$H$7:$H$33,MATCH($B16,'1__Matriz_ASR'!$A$7:$A$33,0)),"ID no encontrado"))</f>
        <v>Aprendizaje y operabilidad</v>
      </c>
      <c r="E16" s="12" t="str">
        <f>IF($B16="","",IFERROR(INDEX('1__Matriz_ASR'!$B$7:$B$33,MATCH($B16,'1__Matriz_ASR'!$A$7:$A$33,0)),"ID no encontrado"))</f>
        <v>Facilidad de uso de las tareas principales</v>
      </c>
      <c r="F16" s="26" t="str">
        <f>IF($B16="","",IFERROR(INDEX('1__Matriz_ASR'!$Q$7:$Q$33,MATCH($B16,'1__Matriz_ASR'!$A$7:$A$33,0)),"ID no encontrado"))</f>
        <v>Media</v>
      </c>
      <c r="G16" s="26" t="str">
        <f>IF($B16="","",IFERROR(INDEX('1__Matriz_ASR'!$R$7:$R$33,MATCH($B16,'1__Matriz_ASR'!$A$7:$A$33,0)),"ID no encontrado"))</f>
        <v>Baja</v>
      </c>
      <c r="H16" s="27" t="str">
        <f t="shared" si="0"/>
        <v>(Media, Baja)</v>
      </c>
      <c r="I16" s="24" t="str">
        <f>IF($B16="","",IF(ISERROR(MATCH($B16,'1__Matriz_ASR'!$A$7:$A$33,0)),"Ese ID no existe en la hoja 1",IF(AND(INDEX('1__Matriz_ASR'!$E$7:$E$33,MATCH($B16,'1__Matriz_ASR'!$A$7:$A$33,0))="Calidad",INDEX('1__Matriz_ASR'!$S$7:$S$33,MATCH($B16,'1__Matriz_ASR'!$A$7:$A$33,0))="Sí"),"Correcto: es escenario de calidad aprobado","Retirar: solo van escenarios de tipo Calidad con dictamen Sí")))</f>
        <v>Correcto: es escenario de calidad aprobado</v>
      </c>
    </row>
    <row r="17" spans="1:9" ht="30" customHeight="1">
      <c r="B17" s="23" t="s">
        <v>304</v>
      </c>
      <c r="C17" s="12" t="str">
        <f>IF($B17="","",IFERROR(INDEX('1__Matriz_ASR'!$G$7:$G$33,MATCH($B17,'1__Matriz_ASR'!$A$7:$A$33,0)),"ID no encontrado"))</f>
        <v>Mantenibilidad</v>
      </c>
      <c r="D17" s="12" t="str">
        <f>IF($B17="","",IFERROR(INDEX('1__Matriz_ASR'!$H$7:$H$33,MATCH($B17,'1__Matriz_ASR'!$A$7:$A$33,0)),"ID no encontrado"))</f>
        <v>Modularidad</v>
      </c>
      <c r="E17" s="12" t="str">
        <f>IF($B17="","",IFERROR(INDEX('1__Matriz_ASR'!$B$7:$B$33,MATCH($B17,'1__Matriz_ASR'!$A$7:$A$33,0)),"ID no encontrado"))</f>
        <v>Arquitectura modular por capas</v>
      </c>
      <c r="F17" s="26" t="str">
        <f>IF($B17="","",IFERROR(INDEX('1__Matriz_ASR'!$Q$7:$Q$33,MATCH($B17,'1__Matriz_ASR'!$A$7:$A$33,0)),"ID no encontrado"))</f>
        <v>Alta</v>
      </c>
      <c r="G17" s="26" t="str">
        <f>IF($B17="","",IFERROR(INDEX('1__Matriz_ASR'!$R$7:$R$33,MATCH($B17,'1__Matriz_ASR'!$A$7:$A$33,0)),"ID no encontrado"))</f>
        <v>Alta</v>
      </c>
      <c r="H17" s="27" t="str">
        <f t="shared" si="0"/>
        <v>(Alta, Alta)</v>
      </c>
      <c r="I17" s="24" t="str">
        <f>IF($B17="","",IF(ISERROR(MATCH($B17,'1__Matriz_ASR'!$A$7:$A$33,0)),"Ese ID no existe en la hoja 1",IF(AND(INDEX('1__Matriz_ASR'!$E$7:$E$33,MATCH($B17,'1__Matriz_ASR'!$A$7:$A$33,0))="Calidad",INDEX('1__Matriz_ASR'!$S$7:$S$33,MATCH($B17,'1__Matriz_ASR'!$A$7:$A$33,0))="Sí"),"Correcto: es escenario de calidad aprobado","Retirar: solo van escenarios de tipo Calidad con dictamen Sí")))</f>
        <v>Correcto: es escenario de calidad aprobado</v>
      </c>
    </row>
    <row r="18" spans="1:9" ht="30" customHeight="1">
      <c r="B18" s="23" t="s">
        <v>321</v>
      </c>
      <c r="C18" s="12" t="str">
        <f>IF($B18="","",IFERROR(INDEX('1__Matriz_ASR'!$G$7:$G$33,MATCH($B18,'1__Matriz_ASR'!$A$7:$A$33,0)),"ID no encontrado"))</f>
        <v>Flexibilidad</v>
      </c>
      <c r="D18" s="12" t="str">
        <f>IF($B18="","",IFERROR(INDEX('1__Matriz_ASR'!$H$7:$H$33,MATCH($B18,'1__Matriz_ASR'!$A$7:$A$33,0)),"ID no encontrado"))</f>
        <v>Instalabilidad</v>
      </c>
      <c r="E18" s="12" t="str">
        <f>IF($B18="","",IFERROR(INDEX('1__Matriz_ASR'!$B$7:$B$33,MATCH($B18,'1__Matriz_ASR'!$A$7:$A$33,0)),"ID no encontrado"))</f>
        <v>Contenerización con Docker y Docker Compose</v>
      </c>
      <c r="F18" s="26" t="str">
        <f>IF($B18="","",IFERROR(INDEX('1__Matriz_ASR'!$Q$7:$Q$33,MATCH($B18,'1__Matriz_ASR'!$A$7:$A$33,0)),"ID no encontrado"))</f>
        <v>Media</v>
      </c>
      <c r="G18" s="26" t="str">
        <f>IF($B18="","",IFERROR(INDEX('1__Matriz_ASR'!$R$7:$R$33,MATCH($B18,'1__Matriz_ASR'!$A$7:$A$33,0)),"ID no encontrado"))</f>
        <v>Media</v>
      </c>
      <c r="H18" s="27" t="str">
        <f t="shared" si="0"/>
        <v>(Media, Media)</v>
      </c>
      <c r="I18" s="24" t="str">
        <f>IF($B18="","",IF(ISERROR(MATCH($B18,'1__Matriz_ASR'!$A$7:$A$33,0)),"Ese ID no existe en la hoja 1",IF(AND(INDEX('1__Matriz_ASR'!$E$7:$E$33,MATCH($B18,'1__Matriz_ASR'!$A$7:$A$33,0))="Calidad",INDEX('1__Matriz_ASR'!$S$7:$S$33,MATCH($B18,'1__Matriz_ASR'!$A$7:$A$33,0))="Sí"),"Correcto: es escenario de calidad aprobado","Retirar: solo van escenarios de tipo Calidad con dictamen Sí")))</f>
        <v>Correcto: es escenario de calidad aprobado</v>
      </c>
    </row>
    <row r="19" spans="1:9" ht="30" customHeight="1">
      <c r="B19" s="23" t="s">
        <v>336</v>
      </c>
      <c r="C19" s="12" t="str">
        <f>IF($B19="","",IFERROR(INDEX('1__Matriz_ASR'!$G$7:$G$33,MATCH($B19,'1__Matriz_ASR'!$A$7:$A$33,0)),"ID no encontrado"))</f>
        <v>Flexibilidad</v>
      </c>
      <c r="D19" s="12" t="str">
        <f>IF($B19="","",IFERROR(INDEX('1__Matriz_ASR'!$H$7:$H$33,MATCH($B19,'1__Matriz_ASR'!$A$7:$A$33,0)),"ID no encontrado"))</f>
        <v>Escalabilidad y adaptabilidad</v>
      </c>
      <c r="E19" s="12" t="str">
        <f>IF($B19="","",IFERROR(INDEX('1__Matriz_ASR'!$B$7:$B$33,MATCH($B19,'1__Matriz_ASR'!$A$7:$A$33,0)),"ID no encontrado"))</f>
        <v>Escalabilidad del diseño para nuevos módulos</v>
      </c>
      <c r="F19" s="26" t="str">
        <f>IF($B19="","",IFERROR(INDEX('1__Matriz_ASR'!$Q$7:$Q$33,MATCH($B19,'1__Matriz_ASR'!$A$7:$A$33,0)),"ID no encontrado"))</f>
        <v>Media</v>
      </c>
      <c r="G19" s="26" t="str">
        <f>IF($B19="","",IFERROR(INDEX('1__Matriz_ASR'!$R$7:$R$33,MATCH($B19,'1__Matriz_ASR'!$A$7:$A$33,0)),"ID no encontrado"))</f>
        <v>Alta</v>
      </c>
      <c r="H19" s="27" t="str">
        <f t="shared" si="0"/>
        <v>(Media, Alta)</v>
      </c>
      <c r="I19" s="24" t="str">
        <f>IF($B19="","",IF(ISERROR(MATCH($B19,'1__Matriz_ASR'!$A$7:$A$33,0)),"Ese ID no existe en la hoja 1",IF(AND(INDEX('1__Matriz_ASR'!$E$7:$E$33,MATCH($B19,'1__Matriz_ASR'!$A$7:$A$33,0))="Calidad",INDEX('1__Matriz_ASR'!$S$7:$S$33,MATCH($B19,'1__Matriz_ASR'!$A$7:$A$33,0))="Sí"),"Correcto: es escenario de calidad aprobado","Retirar: solo van escenarios de tipo Calidad con dictamen Sí")))</f>
        <v>Correcto: es escenario de calidad aprobado</v>
      </c>
    </row>
    <row r="20" spans="1:9" ht="30" customHeight="1">
      <c r="B20" s="23"/>
      <c r="C20" t="str">
        <f>IF($B20="","",IFERROR(INDEX('1__Matriz_ASR'!$G$7:$G$33,MATCH($B20,'1__Matriz_ASR'!$A$7:$A$33,0)),"ID no encontrado"))</f>
        <v/>
      </c>
      <c r="D20" t="str">
        <f>IF($B20="","",IFERROR(INDEX('1__Matriz_ASR'!$H$7:$H$33,MATCH($B20,'1__Matriz_ASR'!$A$7:$A$33,0)),"ID no encontrado"))</f>
        <v/>
      </c>
      <c r="E20" t="str">
        <f>IF($B20="","",IFERROR(INDEX('1__Matriz_ASR'!$B$7:$B$33,MATCH($B20,'1__Matriz_ASR'!$A$7:$A$33,0)),"ID no encontrado"))</f>
        <v/>
      </c>
      <c r="F20" t="str">
        <f>IF($B20="","",IFERROR(INDEX('1__Matriz_ASR'!$Q$7:$Q$33,MATCH($B20,'1__Matriz_ASR'!$A$7:$A$33,0)),"ID no encontrado"))</f>
        <v/>
      </c>
      <c r="G20" t="str">
        <f>IF($B20="","",IFERROR(INDEX('1__Matriz_ASR'!$R$7:$R$33,MATCH($B20,'1__Matriz_ASR'!$A$7:$A$33,0)),"ID no encontrado"))</f>
        <v/>
      </c>
      <c r="H20" s="27" t="str">
        <f t="shared" si="0"/>
        <v/>
      </c>
      <c r="I20" t="str">
        <f>IF($B20="","",IF(ISERROR(MATCH($B20,'1__Matriz_ASR'!$A$7:$A$33,0)),"Ese ID no existe en la hoja 1",IF(AND(INDEX('1__Matriz_ASR'!$E$7:$E$33,MATCH($B20,'1__Matriz_ASR'!$A$7:$A$33,0))="Calidad",INDEX('1__Matriz_ASR'!$S$7:$S$33,MATCH($B20,'1__Matriz_ASR'!$A$7:$A$33,0))="Sí"),"Correcto: es escenario de calidad aprobado","Retirar: solo van escenarios de tipo Calidad con dictamen Sí")))</f>
        <v/>
      </c>
    </row>
    <row r="21" spans="1:9" ht="30" customHeight="1">
      <c r="B21" s="23"/>
      <c r="C21" t="str">
        <f>IF($B21="","",IFERROR(INDEX('1__Matriz_ASR'!$G$7:$G$33,MATCH($B21,'1__Matriz_ASR'!$A$7:$A$33,0)),"ID no encontrado"))</f>
        <v/>
      </c>
      <c r="D21" t="str">
        <f>IF($B21="","",IFERROR(INDEX('1__Matriz_ASR'!$H$7:$H$33,MATCH($B21,'1__Matriz_ASR'!$A$7:$A$33,0)),"ID no encontrado"))</f>
        <v/>
      </c>
      <c r="E21" t="str">
        <f>IF($B21="","",IFERROR(INDEX('1__Matriz_ASR'!$B$7:$B$33,MATCH($B21,'1__Matriz_ASR'!$A$7:$A$33,0)),"ID no encontrado"))</f>
        <v/>
      </c>
      <c r="F21" t="str">
        <f>IF($B21="","",IFERROR(INDEX('1__Matriz_ASR'!$Q$7:$Q$33,MATCH($B21,'1__Matriz_ASR'!$A$7:$A$33,0)),"ID no encontrado"))</f>
        <v/>
      </c>
      <c r="G21" t="str">
        <f>IF($B21="","",IFERROR(INDEX('1__Matriz_ASR'!$R$7:$R$33,MATCH($B21,'1__Matriz_ASR'!$A$7:$A$33,0)),"ID no encontrado"))</f>
        <v/>
      </c>
      <c r="H21" s="27" t="str">
        <f t="shared" si="0"/>
        <v/>
      </c>
      <c r="I21" t="str">
        <f>IF($B21="","",IF(ISERROR(MATCH($B21,'1__Matriz_ASR'!$A$7:$A$33,0)),"Ese ID no existe en la hoja 1",IF(AND(INDEX('1__Matriz_ASR'!$E$7:$E$33,MATCH($B21,'1__Matriz_ASR'!$A$7:$A$33,0))="Calidad",INDEX('1__Matriz_ASR'!$S$7:$S$33,MATCH($B21,'1__Matriz_ASR'!$A$7:$A$33,0))="Sí"),"Correcto: es escenario de calidad aprobado","Retirar: solo van escenarios de tipo Calidad con dictamen Sí")))</f>
        <v/>
      </c>
    </row>
    <row r="22" spans="1:9" ht="30" customHeight="1">
      <c r="B22" s="23"/>
      <c r="C22" t="str">
        <f>IF($B22="","",IFERROR(INDEX('1__Matriz_ASR'!$G$7:$G$33,MATCH($B22,'1__Matriz_ASR'!$A$7:$A$33,0)),"ID no encontrado"))</f>
        <v/>
      </c>
      <c r="D22" t="str">
        <f>IF($B22="","",IFERROR(INDEX('1__Matriz_ASR'!$H$7:$H$33,MATCH($B22,'1__Matriz_ASR'!$A$7:$A$33,0)),"ID no encontrado"))</f>
        <v/>
      </c>
      <c r="E22" t="str">
        <f>IF($B22="","",IFERROR(INDEX('1__Matriz_ASR'!$B$7:$B$33,MATCH($B22,'1__Matriz_ASR'!$A$7:$A$33,0)),"ID no encontrado"))</f>
        <v/>
      </c>
      <c r="F22" t="str">
        <f>IF($B22="","",IFERROR(INDEX('1__Matriz_ASR'!$Q$7:$Q$33,MATCH($B22,'1__Matriz_ASR'!$A$7:$A$33,0)),"ID no encontrado"))</f>
        <v/>
      </c>
      <c r="G22" t="str">
        <f>IF($B22="","",IFERROR(INDEX('1__Matriz_ASR'!$R$7:$R$33,MATCH($B22,'1__Matriz_ASR'!$A$7:$A$33,0)),"ID no encontrado"))</f>
        <v/>
      </c>
      <c r="H22" s="27" t="str">
        <f t="shared" si="0"/>
        <v/>
      </c>
      <c r="I22" t="str">
        <f>IF($B22="","",IF(ISERROR(MATCH($B22,'1__Matriz_ASR'!$A$7:$A$33,0)),"Ese ID no existe en la hoja 1",IF(AND(INDEX('1__Matriz_ASR'!$E$7:$E$33,MATCH($B22,'1__Matriz_ASR'!$A$7:$A$33,0))="Calidad",INDEX('1__Matriz_ASR'!$S$7:$S$33,MATCH($B22,'1__Matriz_ASR'!$A$7:$A$33,0))="Sí"),"Correcto: es escenario de calidad aprobado","Retirar: solo van escenarios de tipo Calidad con dictamen Sí")))</f>
        <v/>
      </c>
    </row>
    <row r="23" spans="1:9" ht="30" customHeight="1">
      <c r="B23" s="23"/>
      <c r="C23" t="str">
        <f>IF($B23="","",IFERROR(INDEX('1__Matriz_ASR'!$G$7:$G$33,MATCH($B23,'1__Matriz_ASR'!$A$7:$A$33,0)),"ID no encontrado"))</f>
        <v/>
      </c>
      <c r="D23" t="str">
        <f>IF($B23="","",IFERROR(INDEX('1__Matriz_ASR'!$H$7:$H$33,MATCH($B23,'1__Matriz_ASR'!$A$7:$A$33,0)),"ID no encontrado"))</f>
        <v/>
      </c>
      <c r="E23" t="str">
        <f>IF($B23="","",IFERROR(INDEX('1__Matriz_ASR'!$B$7:$B$33,MATCH($B23,'1__Matriz_ASR'!$A$7:$A$33,0)),"ID no encontrado"))</f>
        <v/>
      </c>
      <c r="F23" t="str">
        <f>IF($B23="","",IFERROR(INDEX('1__Matriz_ASR'!$Q$7:$Q$33,MATCH($B23,'1__Matriz_ASR'!$A$7:$A$33,0)),"ID no encontrado"))</f>
        <v/>
      </c>
      <c r="G23" t="str">
        <f>IF($B23="","",IFERROR(INDEX('1__Matriz_ASR'!$R$7:$R$33,MATCH($B23,'1__Matriz_ASR'!$A$7:$A$33,0)),"ID no encontrado"))</f>
        <v/>
      </c>
      <c r="H23" s="27" t="str">
        <f t="shared" si="0"/>
        <v/>
      </c>
      <c r="I23" t="str">
        <f>IF($B23="","",IF(ISERROR(MATCH($B23,'1__Matriz_ASR'!$A$7:$A$33,0)),"Ese ID no existe en la hoja 1",IF(AND(INDEX('1__Matriz_ASR'!$E$7:$E$33,MATCH($B23,'1__Matriz_ASR'!$A$7:$A$33,0))="Calidad",INDEX('1__Matriz_ASR'!$S$7:$S$33,MATCH($B23,'1__Matriz_ASR'!$A$7:$A$33,0))="Sí"),"Correcto: es escenario de calidad aprobado","Retirar: solo van escenarios de tipo Calidad con dictamen Sí")))</f>
        <v/>
      </c>
    </row>
    <row r="24" spans="1:9" ht="30" customHeight="1">
      <c r="B24" s="23"/>
      <c r="C24" t="str">
        <f>IF($B24="","",IFERROR(INDEX('1__Matriz_ASR'!$G$7:$G$33,MATCH($B24,'1__Matriz_ASR'!$A$7:$A$33,0)),"ID no encontrado"))</f>
        <v/>
      </c>
      <c r="D24" t="str">
        <f>IF($B24="","",IFERROR(INDEX('1__Matriz_ASR'!$H$7:$H$33,MATCH($B24,'1__Matriz_ASR'!$A$7:$A$33,0)),"ID no encontrado"))</f>
        <v/>
      </c>
      <c r="E24" t="str">
        <f>IF($B24="","",IFERROR(INDEX('1__Matriz_ASR'!$B$7:$B$33,MATCH($B24,'1__Matriz_ASR'!$A$7:$A$33,0)),"ID no encontrado"))</f>
        <v/>
      </c>
      <c r="F24" t="str">
        <f>IF($B24="","",IFERROR(INDEX('1__Matriz_ASR'!$Q$7:$Q$33,MATCH($B24,'1__Matriz_ASR'!$A$7:$A$33,0)),"ID no encontrado"))</f>
        <v/>
      </c>
      <c r="G24" t="str">
        <f>IF($B24="","",IFERROR(INDEX('1__Matriz_ASR'!$R$7:$R$33,MATCH($B24,'1__Matriz_ASR'!$A$7:$A$33,0)),"ID no encontrado"))</f>
        <v/>
      </c>
      <c r="H24" s="27" t="str">
        <f t="shared" si="0"/>
        <v/>
      </c>
      <c r="I24" t="str">
        <f>IF($B24="","",IF(ISERROR(MATCH($B24,'1__Matriz_ASR'!$A$7:$A$33,0)),"Ese ID no existe en la hoja 1",IF(AND(INDEX('1__Matriz_ASR'!$E$7:$E$33,MATCH($B24,'1__Matriz_ASR'!$A$7:$A$33,0))="Calidad",INDEX('1__Matriz_ASR'!$S$7:$S$33,MATCH($B24,'1__Matriz_ASR'!$A$7:$A$33,0))="Sí"),"Correcto: es escenario de calidad aprobado","Retirar: solo van escenarios de tipo Calidad con dictamen Sí")))</f>
        <v/>
      </c>
    </row>
    <row r="25" spans="1:9" ht="30" customHeight="1">
      <c r="B25" s="23"/>
      <c r="C25" t="str">
        <f>IF($B25="","",IFERROR(INDEX('1__Matriz_ASR'!$G$7:$G$33,MATCH($B25,'1__Matriz_ASR'!$A$7:$A$33,0)),"ID no encontrado"))</f>
        <v/>
      </c>
      <c r="D25" t="str">
        <f>IF($B25="","",IFERROR(INDEX('1__Matriz_ASR'!$H$7:$H$33,MATCH($B25,'1__Matriz_ASR'!$A$7:$A$33,0)),"ID no encontrado"))</f>
        <v/>
      </c>
      <c r="E25" t="str">
        <f>IF($B25="","",IFERROR(INDEX('1__Matriz_ASR'!$B$7:$B$33,MATCH($B25,'1__Matriz_ASR'!$A$7:$A$33,0)),"ID no encontrado"))</f>
        <v/>
      </c>
      <c r="F25" t="str">
        <f>IF($B25="","",IFERROR(INDEX('1__Matriz_ASR'!$Q$7:$Q$33,MATCH($B25,'1__Matriz_ASR'!$A$7:$A$33,0)),"ID no encontrado"))</f>
        <v/>
      </c>
      <c r="G25" t="str">
        <f>IF($B25="","",IFERROR(INDEX('1__Matriz_ASR'!$R$7:$R$33,MATCH($B25,'1__Matriz_ASR'!$A$7:$A$33,0)),"ID no encontrado"))</f>
        <v/>
      </c>
      <c r="H25" s="27" t="str">
        <f t="shared" si="0"/>
        <v/>
      </c>
      <c r="I25" t="str">
        <f>IF($B25="","",IF(ISERROR(MATCH($B25,'1__Matriz_ASR'!$A$7:$A$33,0)),"Ese ID no existe en la hoja 1",IF(AND(INDEX('1__Matriz_ASR'!$E$7:$E$33,MATCH($B25,'1__Matriz_ASR'!$A$7:$A$33,0))="Calidad",INDEX('1__Matriz_ASR'!$S$7:$S$33,MATCH($B25,'1__Matriz_ASR'!$A$7:$A$33,0))="Sí"),"Correcto: es escenario de calidad aprobado","Retirar: solo van escenarios de tipo Calidad con dictamen Sí")))</f>
        <v/>
      </c>
    </row>
    <row r="26" spans="1:9" ht="30" customHeight="1">
      <c r="B26" s="23"/>
      <c r="C26" t="str">
        <f>IF($B26="","",IFERROR(INDEX('1__Matriz_ASR'!$G$7:$G$33,MATCH($B26,'1__Matriz_ASR'!$A$7:$A$33,0)),"ID no encontrado"))</f>
        <v/>
      </c>
      <c r="D26" t="str">
        <f>IF($B26="","",IFERROR(INDEX('1__Matriz_ASR'!$H$7:$H$33,MATCH($B26,'1__Matriz_ASR'!$A$7:$A$33,0)),"ID no encontrado"))</f>
        <v/>
      </c>
      <c r="E26" t="str">
        <f>IF($B26="","",IFERROR(INDEX('1__Matriz_ASR'!$B$7:$B$33,MATCH($B26,'1__Matriz_ASR'!$A$7:$A$33,0)),"ID no encontrado"))</f>
        <v/>
      </c>
      <c r="F26" t="str">
        <f>IF($B26="","",IFERROR(INDEX('1__Matriz_ASR'!$Q$7:$Q$33,MATCH($B26,'1__Matriz_ASR'!$A$7:$A$33,0)),"ID no encontrado"))</f>
        <v/>
      </c>
      <c r="G26" t="str">
        <f>IF($B26="","",IFERROR(INDEX('1__Matriz_ASR'!$R$7:$R$33,MATCH($B26,'1__Matriz_ASR'!$A$7:$A$33,0)),"ID no encontrado"))</f>
        <v/>
      </c>
      <c r="H26" s="27" t="str">
        <f t="shared" si="0"/>
        <v/>
      </c>
      <c r="I26" t="str">
        <f>IF($B26="","",IF(ISERROR(MATCH($B26,'1__Matriz_ASR'!$A$7:$A$33,0)),"Ese ID no existe en la hoja 1",IF(AND(INDEX('1__Matriz_ASR'!$E$7:$E$33,MATCH($B26,'1__Matriz_ASR'!$A$7:$A$33,0))="Calidad",INDEX('1__Matriz_ASR'!$S$7:$S$33,MATCH($B26,'1__Matriz_ASR'!$A$7:$A$33,0))="Sí"),"Correcto: es escenario de calidad aprobado","Retirar: solo van escenarios de tipo Calidad con dictamen Sí")))</f>
        <v/>
      </c>
    </row>
    <row r="27" spans="1:9" ht="30" customHeight="1">
      <c r="B27" s="23"/>
      <c r="C27" t="str">
        <f>IF($B27="","",IFERROR(INDEX('1__Matriz_ASR'!$G$7:$G$33,MATCH($B27,'1__Matriz_ASR'!$A$7:$A$33,0)),"ID no encontrado"))</f>
        <v/>
      </c>
      <c r="D27" t="str">
        <f>IF($B27="","",IFERROR(INDEX('1__Matriz_ASR'!$H$7:$H$33,MATCH($B27,'1__Matriz_ASR'!$A$7:$A$33,0)),"ID no encontrado"))</f>
        <v/>
      </c>
      <c r="E27" t="str">
        <f>IF($B27="","",IFERROR(INDEX('1__Matriz_ASR'!$B$7:$B$33,MATCH($B27,'1__Matriz_ASR'!$A$7:$A$33,0)),"ID no encontrado"))</f>
        <v/>
      </c>
      <c r="F27" t="str">
        <f>IF($B27="","",IFERROR(INDEX('1__Matriz_ASR'!$Q$7:$Q$33,MATCH($B27,'1__Matriz_ASR'!$A$7:$A$33,0)),"ID no encontrado"))</f>
        <v/>
      </c>
      <c r="G27" t="str">
        <f>IF($B27="","",IFERROR(INDEX('1__Matriz_ASR'!$R$7:$R$33,MATCH($B27,'1__Matriz_ASR'!$A$7:$A$33,0)),"ID no encontrado"))</f>
        <v/>
      </c>
      <c r="H27" s="27" t="str">
        <f t="shared" si="0"/>
        <v/>
      </c>
      <c r="I27" t="str">
        <f>IF($B27="","",IF(ISERROR(MATCH($B27,'1__Matriz_ASR'!$A$7:$A$33,0)),"Ese ID no existe en la hoja 1",IF(AND(INDEX('1__Matriz_ASR'!$E$7:$E$33,MATCH($B27,'1__Matriz_ASR'!$A$7:$A$33,0))="Calidad",INDEX('1__Matriz_ASR'!$S$7:$S$33,MATCH($B27,'1__Matriz_ASR'!$A$7:$A$33,0))="Sí"),"Correcto: es escenario de calidad aprobado","Retirar: solo van escenarios de tipo Calidad con dictamen Sí")))</f>
        <v/>
      </c>
    </row>
    <row r="28" spans="1:9" ht="13.15"/>
    <row r="29" spans="1:9" ht="19.5" customHeight="1">
      <c r="B29" s="5" t="s">
        <v>443</v>
      </c>
      <c r="C29" s="6"/>
      <c r="D29" s="6"/>
      <c r="E29" s="6"/>
      <c r="F29" s="6"/>
      <c r="G29" s="6"/>
      <c r="H29" s="6"/>
      <c r="I29" s="6"/>
    </row>
    <row r="30" spans="1:9" s="29" customFormat="1" ht="13.15">
      <c r="A30" s="1"/>
      <c r="B30" s="1" t="s">
        <v>444</v>
      </c>
    </row>
    <row r="31" spans="1:9" s="29" customFormat="1" ht="13.15">
      <c r="A31" s="1"/>
      <c r="B31" s="1" t="s">
        <v>445</v>
      </c>
    </row>
    <row r="32" spans="1:9" s="29" customFormat="1" ht="13.15">
      <c r="A32" s="1"/>
      <c r="B32" s="1" t="s">
        <v>446</v>
      </c>
    </row>
    <row r="33" spans="1:2" s="29" customFormat="1" ht="13.15">
      <c r="A33" s="1"/>
      <c r="B33" s="1" t="s">
        <v>447</v>
      </c>
    </row>
    <row r="34" spans="1:2" s="29" customFormat="1" ht="13.15">
      <c r="A34" s="1"/>
      <c r="B34" s="1" t="s">
        <v>448</v>
      </c>
    </row>
    <row r="35" spans="1:2" s="29" customFormat="1" ht="13.15">
      <c r="A35" s="1"/>
      <c r="B35" s="1" t="s">
        <v>449</v>
      </c>
    </row>
    <row r="36" spans="1:2" s="29" customFormat="1" ht="13.15">
      <c r="A36" s="1"/>
      <c r="B36" s="1" t="s">
        <v>445</v>
      </c>
    </row>
    <row r="37" spans="1:2" s="29" customFormat="1" ht="13.15">
      <c r="A37" s="1"/>
      <c r="B37" s="1" t="s">
        <v>450</v>
      </c>
    </row>
    <row r="38" spans="1:2" s="29" customFormat="1" ht="13.15">
      <c r="A38" s="1"/>
      <c r="B38" s="1" t="s">
        <v>451</v>
      </c>
    </row>
    <row r="39" spans="1:2" s="29" customFormat="1" ht="13.15">
      <c r="A39" s="1"/>
      <c r="B39" s="1" t="s">
        <v>452</v>
      </c>
    </row>
    <row r="40" spans="1:2" s="29" customFormat="1" ht="13.15">
      <c r="A40" s="1"/>
      <c r="B40" s="1" t="s">
        <v>453</v>
      </c>
    </row>
    <row r="41" spans="1:2" s="29" customFormat="1" ht="13.15">
      <c r="A41" s="1"/>
      <c r="B41" s="1" t="s">
        <v>454</v>
      </c>
    </row>
    <row r="42" spans="1:2" s="29" customFormat="1" ht="13.15">
      <c r="A42" s="1"/>
      <c r="B42" s="1" t="s">
        <v>455</v>
      </c>
    </row>
    <row r="43" spans="1:2" s="29" customFormat="1" ht="13.15">
      <c r="A43" s="1"/>
      <c r="B43" s="1" t="s">
        <v>456</v>
      </c>
    </row>
    <row r="44" spans="1:2" s="29" customFormat="1" ht="13.15">
      <c r="A44" s="1"/>
      <c r="B44" s="1" t="s">
        <v>445</v>
      </c>
    </row>
    <row r="45" spans="1:2" s="29" customFormat="1" ht="13.15">
      <c r="A45" s="1"/>
      <c r="B45" s="1" t="s">
        <v>457</v>
      </c>
    </row>
    <row r="46" spans="1:2" s="29" customFormat="1" ht="13.15">
      <c r="A46" s="1"/>
      <c r="B46" s="1" t="s">
        <v>458</v>
      </c>
    </row>
    <row r="47" spans="1:2" s="29" customFormat="1" ht="13.15">
      <c r="A47" s="1"/>
      <c r="B47" s="1" t="s">
        <v>459</v>
      </c>
    </row>
    <row r="48" spans="1:2" s="29" customFormat="1" ht="13.15">
      <c r="A48" s="1"/>
      <c r="B48" s="1" t="s">
        <v>445</v>
      </c>
    </row>
    <row r="49" spans="1:9" s="29" customFormat="1" ht="13.15">
      <c r="A49" s="1"/>
      <c r="B49" s="1" t="s">
        <v>460</v>
      </c>
    </row>
    <row r="50" spans="1:9" s="29" customFormat="1" ht="13.15">
      <c r="A50" s="1"/>
      <c r="B50" s="1" t="s">
        <v>461</v>
      </c>
    </row>
    <row r="51" spans="1:9" s="29" customFormat="1" ht="13.15">
      <c r="A51" s="1"/>
      <c r="B51" s="1" t="s">
        <v>462</v>
      </c>
    </row>
    <row r="52" spans="1:9" s="29" customFormat="1" ht="13.15">
      <c r="A52" s="1"/>
      <c r="B52" s="1" t="s">
        <v>445</v>
      </c>
    </row>
    <row r="53" spans="1:9" s="29" customFormat="1" ht="13.15">
      <c r="A53" s="1"/>
      <c r="B53" s="1" t="s">
        <v>463</v>
      </c>
    </row>
    <row r="54" spans="1:9" s="29" customFormat="1" ht="13.15">
      <c r="A54" s="1"/>
      <c r="B54" s="1" t="s">
        <v>464</v>
      </c>
    </row>
    <row r="55" spans="1:9" s="29" customFormat="1" ht="13.15">
      <c r="A55" s="1"/>
      <c r="B55" s="1" t="s">
        <v>465</v>
      </c>
    </row>
    <row r="56" spans="1:9" s="29" customFormat="1" ht="13.15">
      <c r="A56" s="1"/>
      <c r="B56" s="1" t="s">
        <v>445</v>
      </c>
    </row>
    <row r="57" spans="1:9" s="29" customFormat="1" ht="13.15">
      <c r="A57" s="1"/>
      <c r="B57" s="1" t="s">
        <v>466</v>
      </c>
    </row>
    <row r="58" spans="1:9" s="29" customFormat="1" ht="13.15">
      <c r="A58" s="1"/>
      <c r="B58" s="1" t="s">
        <v>467</v>
      </c>
    </row>
    <row r="59" spans="1:9" s="29" customFormat="1" ht="13.15">
      <c r="A59" s="1"/>
      <c r="B59" s="1" t="s">
        <v>468</v>
      </c>
    </row>
    <row r="60" spans="1:9" s="29" customFormat="1" ht="13.15">
      <c r="A60" s="1"/>
      <c r="B60" s="1" t="s">
        <v>469</v>
      </c>
    </row>
    <row r="61" spans="1:9" s="29" customFormat="1" ht="13.15">
      <c r="A61" s="1"/>
      <c r="B61" s="1" t="s">
        <v>470</v>
      </c>
    </row>
    <row r="62" spans="1:9" ht="21" customHeight="1">
      <c r="B62" s="54" t="s">
        <v>471</v>
      </c>
      <c r="C62" s="54"/>
      <c r="D62" s="54"/>
      <c r="E62" s="54"/>
      <c r="F62" s="54"/>
      <c r="G62" s="54"/>
      <c r="H62" s="54"/>
      <c r="I62" s="54"/>
    </row>
    <row r="63" spans="1:9" ht="13.15"/>
    <row r="64" spans="1:9" ht="19.5" customHeight="1">
      <c r="B64" s="5" t="s">
        <v>472</v>
      </c>
      <c r="C64" s="6"/>
      <c r="D64" s="6"/>
      <c r="E64" s="6"/>
      <c r="F64" s="6"/>
      <c r="G64" s="6"/>
      <c r="H64" s="6"/>
      <c r="I64" s="6"/>
    </row>
    <row r="65" spans="2:9" ht="15" customHeight="1">
      <c r="B65" s="7" t="s">
        <v>473</v>
      </c>
      <c r="C65" s="7" t="s">
        <v>474</v>
      </c>
      <c r="D65" s="55" t="s">
        <v>475</v>
      </c>
      <c r="E65" s="55"/>
      <c r="F65" s="55"/>
      <c r="G65" s="55"/>
      <c r="H65" s="55"/>
      <c r="I65" s="55"/>
    </row>
    <row r="66" spans="2:9" ht="25.5" customHeight="1">
      <c r="B66" s="8" t="s">
        <v>476</v>
      </c>
      <c r="C66" s="9" t="s">
        <v>477</v>
      </c>
      <c r="D66" s="52" t="s">
        <v>478</v>
      </c>
      <c r="E66" s="52"/>
      <c r="F66" s="52"/>
      <c r="G66" s="52"/>
      <c r="H66" s="52"/>
      <c r="I66" s="52"/>
    </row>
    <row r="67" spans="2:9" ht="25.5" customHeight="1">
      <c r="B67" s="8" t="s">
        <v>479</v>
      </c>
      <c r="C67" s="9" t="s">
        <v>480</v>
      </c>
      <c r="D67" s="52" t="s">
        <v>481</v>
      </c>
      <c r="E67" s="52"/>
      <c r="F67" s="52"/>
      <c r="G67" s="52"/>
      <c r="H67" s="52"/>
      <c r="I67" s="52"/>
    </row>
    <row r="68" spans="2:9" ht="25.5" customHeight="1">
      <c r="B68" s="8" t="s">
        <v>482</v>
      </c>
      <c r="C68" s="9" t="s">
        <v>483</v>
      </c>
      <c r="D68" s="52" t="s">
        <v>484</v>
      </c>
      <c r="E68" s="52"/>
      <c r="F68" s="52"/>
      <c r="G68" s="52"/>
      <c r="H68" s="52"/>
      <c r="I68" s="52"/>
    </row>
    <row r="69" spans="2:9" ht="25.5" customHeight="1">
      <c r="B69" s="8" t="s">
        <v>485</v>
      </c>
      <c r="C69" s="9" t="s">
        <v>486</v>
      </c>
      <c r="D69" s="52" t="s">
        <v>487</v>
      </c>
      <c r="E69" s="52"/>
      <c r="F69" s="52"/>
      <c r="G69" s="52"/>
      <c r="H69" s="52"/>
      <c r="I69" s="52"/>
    </row>
    <row r="70" spans="2:9" ht="13.15"/>
    <row r="71" spans="2:9" ht="13.15">
      <c r="B71" s="15" t="s">
        <v>430</v>
      </c>
    </row>
  </sheetData>
  <mergeCells count="7">
    <mergeCell ref="D69:I69"/>
    <mergeCell ref="B6:I6"/>
    <mergeCell ref="B62:I62"/>
    <mergeCell ref="D65:I65"/>
    <mergeCell ref="D66:I66"/>
    <mergeCell ref="D67:I67"/>
    <mergeCell ref="D68:I68"/>
  </mergeCells>
  <pageMargins left="0.75000000000000011" right="0.75000000000000011" top="1" bottom="1" header="0.51180000000000003" footer="0.51180000000000003"/>
  <pageSetup paperSize="0" fitToWidth="0" fitToHeight="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7FD8A-D0FF-4F9C-B5EE-37AE5D314519}">
  <sheetPr>
    <tabColor rgb="FF0067AD"/>
  </sheetPr>
  <dimension ref="B1:F26"/>
  <sheetViews>
    <sheetView workbookViewId="0"/>
  </sheetViews>
  <sheetFormatPr defaultColWidth="8.42578125" defaultRowHeight="14.45"/>
  <cols>
    <col min="1" max="1" width="2.85546875" style="1" customWidth="1"/>
    <col min="2" max="2" width="23.28515625" style="1" customWidth="1"/>
    <col min="3" max="3" width="25.28515625" style="1" customWidth="1"/>
    <col min="4" max="4" width="38.85546875" style="1" customWidth="1"/>
    <col min="5" max="5" width="42.7109375" style="1" customWidth="1"/>
    <col min="6" max="6" width="33" style="1" customWidth="1"/>
    <col min="7" max="7" width="8.42578125" style="1" customWidth="1"/>
    <col min="8" max="16384" width="8.42578125" style="1"/>
  </cols>
  <sheetData>
    <row r="1" spans="2:6" ht="25.5" customHeight="1">
      <c r="B1" s="2" t="s">
        <v>488</v>
      </c>
    </row>
    <row r="2" spans="2:6" ht="13.15">
      <c r="B2" s="3" t="s">
        <v>489</v>
      </c>
    </row>
    <row r="3" spans="2:6" ht="3.75" customHeight="1">
      <c r="B3" s="4"/>
      <c r="C3" s="4"/>
      <c r="D3" s="4"/>
      <c r="E3" s="4"/>
      <c r="F3" s="4"/>
    </row>
    <row r="4" spans="2:6" ht="13.15"/>
    <row r="5" spans="2:6" ht="19.5" customHeight="1">
      <c r="B5" s="5" t="s">
        <v>490</v>
      </c>
      <c r="C5" s="6"/>
      <c r="D5" s="6"/>
      <c r="E5" s="6"/>
      <c r="F5" s="6"/>
    </row>
    <row r="6" spans="2:6" ht="67.5" customHeight="1">
      <c r="B6" s="53" t="s">
        <v>491</v>
      </c>
      <c r="C6" s="53"/>
      <c r="D6" s="53"/>
      <c r="E6" s="53"/>
      <c r="F6" s="53"/>
    </row>
    <row r="7" spans="2:6" ht="13.15"/>
    <row r="8" spans="2:6" ht="19.5" customHeight="1">
      <c r="B8" s="5" t="s">
        <v>492</v>
      </c>
      <c r="C8" s="6"/>
      <c r="D8" s="6"/>
      <c r="E8" s="6"/>
      <c r="F8" s="6"/>
    </row>
    <row r="9" spans="2:6" ht="31.5" customHeight="1">
      <c r="B9" s="7" t="s">
        <v>493</v>
      </c>
      <c r="C9" s="7" t="s">
        <v>494</v>
      </c>
      <c r="D9" s="7" t="s">
        <v>495</v>
      </c>
      <c r="E9" s="7" t="s">
        <v>496</v>
      </c>
      <c r="F9" s="7" t="s">
        <v>497</v>
      </c>
    </row>
    <row r="10" spans="2:6" ht="39.75" customHeight="1">
      <c r="B10" s="10" t="s">
        <v>205</v>
      </c>
      <c r="C10" s="9" t="s">
        <v>498</v>
      </c>
      <c r="D10" s="13" t="s">
        <v>499</v>
      </c>
      <c r="E10" s="14" t="s">
        <v>500</v>
      </c>
      <c r="F10" s="9" t="s">
        <v>501</v>
      </c>
    </row>
    <row r="11" spans="2:6" ht="39.75" customHeight="1">
      <c r="B11" s="10" t="s">
        <v>205</v>
      </c>
      <c r="C11" s="9" t="s">
        <v>502</v>
      </c>
      <c r="D11" s="13" t="s">
        <v>503</v>
      </c>
      <c r="E11" s="14" t="s">
        <v>504</v>
      </c>
      <c r="F11" s="9" t="s">
        <v>505</v>
      </c>
    </row>
    <row r="12" spans="2:6" ht="39.75" customHeight="1">
      <c r="B12" s="10" t="s">
        <v>144</v>
      </c>
      <c r="C12" s="9" t="s">
        <v>506</v>
      </c>
      <c r="D12" s="13" t="s">
        <v>507</v>
      </c>
      <c r="E12" s="14" t="s">
        <v>508</v>
      </c>
      <c r="F12" s="9" t="s">
        <v>509</v>
      </c>
    </row>
    <row r="13" spans="2:6" ht="39.75" customHeight="1">
      <c r="B13" s="10" t="s">
        <v>510</v>
      </c>
      <c r="C13" s="9" t="s">
        <v>248</v>
      </c>
      <c r="D13" s="13" t="s">
        <v>511</v>
      </c>
      <c r="E13" s="14" t="s">
        <v>512</v>
      </c>
      <c r="F13" s="9" t="s">
        <v>513</v>
      </c>
    </row>
    <row r="14" spans="2:6" ht="39.75" customHeight="1">
      <c r="B14" s="10" t="s">
        <v>514</v>
      </c>
      <c r="C14" s="9" t="s">
        <v>515</v>
      </c>
      <c r="D14" s="13" t="s">
        <v>516</v>
      </c>
      <c r="E14" s="14" t="s">
        <v>517</v>
      </c>
      <c r="F14" s="9" t="s">
        <v>518</v>
      </c>
    </row>
    <row r="15" spans="2:6" ht="39.75" customHeight="1">
      <c r="B15" s="10" t="s">
        <v>519</v>
      </c>
      <c r="C15" s="9" t="s">
        <v>520</v>
      </c>
      <c r="D15" s="13" t="s">
        <v>521</v>
      </c>
      <c r="E15" s="14" t="s">
        <v>522</v>
      </c>
      <c r="F15" s="9" t="s">
        <v>523</v>
      </c>
    </row>
    <row r="16" spans="2:6" ht="39.75" customHeight="1">
      <c r="B16" s="10" t="s">
        <v>524</v>
      </c>
      <c r="C16" s="9" t="s">
        <v>525</v>
      </c>
      <c r="D16" s="13" t="s">
        <v>526</v>
      </c>
      <c r="E16" s="14" t="s">
        <v>527</v>
      </c>
      <c r="F16" s="9" t="s">
        <v>528</v>
      </c>
    </row>
    <row r="17" spans="2:6" ht="39.75" customHeight="1">
      <c r="B17" s="10" t="s">
        <v>529</v>
      </c>
      <c r="C17" s="9" t="s">
        <v>530</v>
      </c>
      <c r="D17" s="13" t="s">
        <v>531</v>
      </c>
      <c r="E17" s="14" t="s">
        <v>532</v>
      </c>
      <c r="F17" s="9" t="s">
        <v>533</v>
      </c>
    </row>
    <row r="18" spans="2:6" ht="39.75" customHeight="1">
      <c r="B18" s="10" t="s">
        <v>534</v>
      </c>
      <c r="C18" s="9" t="s">
        <v>535</v>
      </c>
      <c r="D18" s="13" t="s">
        <v>536</v>
      </c>
      <c r="E18" s="14" t="s">
        <v>537</v>
      </c>
      <c r="F18" s="9" t="s">
        <v>538</v>
      </c>
    </row>
    <row r="19" spans="2:6" ht="13.15"/>
    <row r="20" spans="2:6" ht="19.5" customHeight="1">
      <c r="B20" s="5" t="s">
        <v>539</v>
      </c>
      <c r="C20" s="6"/>
      <c r="D20" s="6"/>
      <c r="E20" s="6"/>
      <c r="F20" s="6"/>
    </row>
    <row r="21" spans="2:6" ht="21.75" customHeight="1">
      <c r="B21" s="52" t="s">
        <v>540</v>
      </c>
      <c r="C21" s="52"/>
      <c r="D21" s="52"/>
      <c r="E21" s="52"/>
      <c r="F21" s="52"/>
    </row>
    <row r="22" spans="2:6" ht="21.75" customHeight="1">
      <c r="B22" s="52" t="s">
        <v>541</v>
      </c>
      <c r="C22" s="52"/>
      <c r="D22" s="52"/>
      <c r="E22" s="52"/>
      <c r="F22" s="52"/>
    </row>
    <row r="23" spans="2:6" ht="21.75" customHeight="1">
      <c r="B23" s="52" t="s">
        <v>542</v>
      </c>
      <c r="C23" s="52"/>
      <c r="D23" s="52"/>
      <c r="E23" s="52"/>
      <c r="F23" s="52"/>
    </row>
    <row r="24" spans="2:6" ht="21.75" customHeight="1">
      <c r="B24" s="52" t="s">
        <v>543</v>
      </c>
      <c r="C24" s="52"/>
      <c r="D24" s="52"/>
      <c r="E24" s="52"/>
      <c r="F24" s="52"/>
    </row>
    <row r="25" spans="2:6" ht="13.15"/>
    <row r="26" spans="2:6" ht="13.15">
      <c r="B26" s="15" t="s">
        <v>430</v>
      </c>
    </row>
  </sheetData>
  <mergeCells count="5">
    <mergeCell ref="B6:F6"/>
    <mergeCell ref="B21:F21"/>
    <mergeCell ref="B22:F22"/>
    <mergeCell ref="B23:F23"/>
    <mergeCell ref="B24:F24"/>
  </mergeCells>
  <pageMargins left="0.75000000000000011" right="0.75000000000000011" top="1" bottom="1" header="0.51180000000000003" footer="0.51180000000000003"/>
  <pageSetup paperSize="0" fitToWidth="0" fitToHeight="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4DF77-401C-4CAC-BC44-9443465681AE}">
  <sheetPr>
    <tabColor rgb="FF0067AD"/>
  </sheetPr>
  <dimension ref="B1:G30"/>
  <sheetViews>
    <sheetView workbookViewId="0"/>
  </sheetViews>
  <sheetFormatPr defaultColWidth="8.42578125" defaultRowHeight="14.45"/>
  <cols>
    <col min="1" max="1" width="2.85546875" style="1" customWidth="1"/>
    <col min="2" max="2" width="13.5703125" style="1" customWidth="1"/>
    <col min="3" max="3" width="54.42578125" style="1" customWidth="1"/>
    <col min="4" max="4" width="44.7109375" style="1" customWidth="1"/>
    <col min="5" max="7" width="21.42578125" style="1" customWidth="1"/>
    <col min="8" max="8" width="8.42578125" style="1" customWidth="1"/>
    <col min="9" max="16384" width="8.42578125" style="1"/>
  </cols>
  <sheetData>
    <row r="1" spans="2:7" ht="25.5" customHeight="1">
      <c r="B1" s="2" t="s">
        <v>544</v>
      </c>
    </row>
    <row r="2" spans="2:7" ht="13.15">
      <c r="B2" s="3" t="s">
        <v>545</v>
      </c>
    </row>
    <row r="3" spans="2:7" ht="3.75" customHeight="1">
      <c r="B3" s="4"/>
      <c r="C3" s="4"/>
      <c r="D3" s="4"/>
      <c r="E3" s="4"/>
      <c r="F3" s="4"/>
      <c r="G3" s="4"/>
    </row>
    <row r="4" spans="2:7" ht="13.15"/>
    <row r="5" spans="2:7" ht="19.5" customHeight="1">
      <c r="B5" s="5" t="s">
        <v>546</v>
      </c>
      <c r="C5" s="6"/>
      <c r="D5" s="6"/>
      <c r="E5" s="6"/>
      <c r="F5" s="6"/>
      <c r="G5" s="6"/>
    </row>
    <row r="6" spans="2:7" ht="60" customHeight="1">
      <c r="B6" s="53" t="s">
        <v>547</v>
      </c>
      <c r="C6" s="53"/>
      <c r="D6" s="53"/>
      <c r="E6" s="53"/>
      <c r="F6" s="53"/>
      <c r="G6" s="53"/>
    </row>
    <row r="7" spans="2:7" ht="13.15"/>
    <row r="8" spans="2:7" ht="19.5" customHeight="1">
      <c r="B8" s="5" t="s">
        <v>548</v>
      </c>
      <c r="C8" s="6"/>
      <c r="D8" s="6"/>
      <c r="E8" s="6"/>
      <c r="F8" s="6"/>
      <c r="G8" s="6"/>
    </row>
    <row r="9" spans="2:7" ht="15" customHeight="1">
      <c r="B9" s="7" t="s">
        <v>549</v>
      </c>
      <c r="C9" s="7" t="s">
        <v>550</v>
      </c>
      <c r="D9" s="55" t="s">
        <v>551</v>
      </c>
      <c r="E9" s="55"/>
      <c r="F9" s="55"/>
      <c r="G9" s="55"/>
    </row>
    <row r="10" spans="2:7" ht="33.75" customHeight="1">
      <c r="B10" s="8" t="s">
        <v>47</v>
      </c>
      <c r="C10" s="9" t="s">
        <v>552</v>
      </c>
      <c r="D10" s="56" t="s">
        <v>553</v>
      </c>
      <c r="E10" s="56"/>
      <c r="F10" s="56"/>
      <c r="G10" s="56"/>
    </row>
    <row r="11" spans="2:7" ht="33.75" customHeight="1">
      <c r="B11" s="8" t="s">
        <v>78</v>
      </c>
      <c r="C11" s="9" t="s">
        <v>554</v>
      </c>
      <c r="D11" s="56" t="s">
        <v>555</v>
      </c>
      <c r="E11" s="56"/>
      <c r="F11" s="56"/>
      <c r="G11" s="56"/>
    </row>
    <row r="12" spans="2:7" ht="33.75" customHeight="1">
      <c r="B12" s="8" t="s">
        <v>300</v>
      </c>
      <c r="C12" s="9" t="s">
        <v>556</v>
      </c>
      <c r="D12" s="56" t="s">
        <v>557</v>
      </c>
      <c r="E12" s="56"/>
      <c r="F12" s="56"/>
      <c r="G12" s="56"/>
    </row>
    <row r="13" spans="2:7" ht="33.75" customHeight="1">
      <c r="B13" s="8" t="s">
        <v>558</v>
      </c>
      <c r="C13" s="9" t="s">
        <v>559</v>
      </c>
      <c r="D13" s="56" t="s">
        <v>560</v>
      </c>
      <c r="E13" s="56"/>
      <c r="F13" s="56"/>
      <c r="G13" s="56"/>
    </row>
    <row r="14" spans="2:7" ht="13.15"/>
    <row r="15" spans="2:7" ht="19.5" customHeight="1">
      <c r="B15" s="5" t="s">
        <v>561</v>
      </c>
      <c r="C15" s="6"/>
      <c r="D15" s="6"/>
      <c r="E15" s="6"/>
      <c r="F15" s="6"/>
      <c r="G15" s="6"/>
    </row>
    <row r="16" spans="2:7" ht="15" customHeight="1">
      <c r="B16" s="7" t="s">
        <v>549</v>
      </c>
      <c r="C16" s="7" t="s">
        <v>550</v>
      </c>
      <c r="D16" s="55" t="s">
        <v>551</v>
      </c>
      <c r="E16" s="55"/>
      <c r="F16" s="55"/>
      <c r="G16" s="55"/>
    </row>
    <row r="17" spans="2:7" ht="39.75" customHeight="1">
      <c r="B17" s="8" t="s">
        <v>47</v>
      </c>
      <c r="C17" s="9" t="s">
        <v>562</v>
      </c>
      <c r="D17" s="56" t="s">
        <v>563</v>
      </c>
      <c r="E17" s="56"/>
      <c r="F17" s="56"/>
      <c r="G17" s="56"/>
    </row>
    <row r="18" spans="2:7" ht="39.75" customHeight="1">
      <c r="B18" s="8" t="s">
        <v>78</v>
      </c>
      <c r="C18" s="9" t="s">
        <v>564</v>
      </c>
      <c r="D18" s="56" t="s">
        <v>565</v>
      </c>
      <c r="E18" s="56"/>
      <c r="F18" s="56"/>
      <c r="G18" s="56"/>
    </row>
    <row r="19" spans="2:7" ht="39.75" customHeight="1">
      <c r="B19" s="8" t="s">
        <v>300</v>
      </c>
      <c r="C19" s="9" t="s">
        <v>566</v>
      </c>
      <c r="D19" s="56" t="s">
        <v>567</v>
      </c>
      <c r="E19" s="56"/>
      <c r="F19" s="56"/>
      <c r="G19" s="56"/>
    </row>
    <row r="20" spans="2:7" ht="39.75" customHeight="1">
      <c r="B20" s="8" t="s">
        <v>558</v>
      </c>
      <c r="C20" s="9" t="s">
        <v>568</v>
      </c>
      <c r="D20" s="56" t="s">
        <v>569</v>
      </c>
      <c r="E20" s="56"/>
      <c r="F20" s="56"/>
      <c r="G20" s="56"/>
    </row>
    <row r="21" spans="2:7" ht="13.15"/>
    <row r="22" spans="2:7" ht="19.5" customHeight="1">
      <c r="B22" s="5" t="s">
        <v>570</v>
      </c>
      <c r="C22" s="6"/>
      <c r="D22" s="6"/>
      <c r="E22" s="6"/>
      <c r="F22" s="6"/>
      <c r="G22" s="6"/>
    </row>
    <row r="23" spans="2:7" ht="13.15">
      <c r="B23" s="7" t="s">
        <v>571</v>
      </c>
      <c r="C23" s="31"/>
      <c r="D23" s="31"/>
      <c r="E23" s="7" t="s">
        <v>572</v>
      </c>
      <c r="F23" s="7" t="s">
        <v>573</v>
      </c>
      <c r="G23" s="7" t="s">
        <v>574</v>
      </c>
    </row>
    <row r="24" spans="2:7" ht="33.75" customHeight="1">
      <c r="B24" s="32" t="s">
        <v>575</v>
      </c>
      <c r="C24" s="11"/>
      <c r="D24" s="11"/>
      <c r="E24" s="13" t="s">
        <v>576</v>
      </c>
      <c r="F24" s="9" t="s">
        <v>577</v>
      </c>
      <c r="G24" s="9" t="s">
        <v>578</v>
      </c>
    </row>
    <row r="25" spans="2:7" ht="33.75" customHeight="1">
      <c r="B25" s="32" t="s">
        <v>579</v>
      </c>
      <c r="C25" s="11"/>
      <c r="D25" s="11"/>
      <c r="E25" s="13" t="s">
        <v>580</v>
      </c>
      <c r="F25" s="9" t="s">
        <v>581</v>
      </c>
      <c r="G25" s="9" t="s">
        <v>582</v>
      </c>
    </row>
    <row r="26" spans="2:7" ht="33.75" customHeight="1">
      <c r="B26" s="32" t="s">
        <v>583</v>
      </c>
      <c r="C26" s="11"/>
      <c r="D26" s="11"/>
      <c r="E26" s="13" t="s">
        <v>584</v>
      </c>
      <c r="F26" s="9" t="s">
        <v>585</v>
      </c>
      <c r="G26" s="9" t="s">
        <v>585</v>
      </c>
    </row>
    <row r="27" spans="2:7" ht="13.15"/>
    <row r="28" spans="2:7" ht="112.15">
      <c r="B28" s="30" t="s">
        <v>586</v>
      </c>
    </row>
    <row r="29" spans="2:7" ht="13.15"/>
    <row r="30" spans="2:7" ht="13.15">
      <c r="B30" s="15" t="s">
        <v>587</v>
      </c>
    </row>
  </sheetData>
  <mergeCells count="11">
    <mergeCell ref="D13:G13"/>
    <mergeCell ref="B6:G6"/>
    <mergeCell ref="D9:G9"/>
    <mergeCell ref="D10:G10"/>
    <mergeCell ref="D11:G11"/>
    <mergeCell ref="D12:G12"/>
    <mergeCell ref="D16:G16"/>
    <mergeCell ref="D17:G17"/>
    <mergeCell ref="D18:G18"/>
    <mergeCell ref="D19:G19"/>
    <mergeCell ref="D20:G20"/>
  </mergeCells>
  <pageMargins left="0.75000000000000011" right="0.75000000000000011" top="1" bottom="1" header="0.51180000000000003" footer="0.51180000000000003"/>
  <pageSetup paperSize="0" fitToWidth="0" fitToHeight="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D91E4-4B19-46FF-A257-837071AE2CFB}">
  <sheetPr>
    <tabColor rgb="FF0067AD"/>
  </sheetPr>
  <dimension ref="B1:F49"/>
  <sheetViews>
    <sheetView workbookViewId="0">
      <selection activeCell="C5" sqref="C5"/>
    </sheetView>
  </sheetViews>
  <sheetFormatPr defaultColWidth="8.42578125" defaultRowHeight="14.45"/>
  <cols>
    <col min="1" max="1" width="2.85546875" style="1" customWidth="1"/>
    <col min="2" max="2" width="25.28515625" style="1" customWidth="1"/>
    <col min="3" max="4" width="38.85546875" style="1" customWidth="1"/>
    <col min="5" max="5" width="40.7109375" style="1" customWidth="1"/>
    <col min="6" max="6" width="29.140625" style="1" customWidth="1"/>
    <col min="7" max="7" width="8.42578125" style="1" customWidth="1"/>
    <col min="8" max="16384" width="8.42578125" style="1"/>
  </cols>
  <sheetData>
    <row r="1" spans="2:6" ht="25.5" customHeight="1">
      <c r="B1" s="2" t="s">
        <v>588</v>
      </c>
    </row>
    <row r="2" spans="2:6" ht="13.15">
      <c r="B2" s="3" t="s">
        <v>589</v>
      </c>
    </row>
    <row r="3" spans="2:6" ht="3.75" customHeight="1">
      <c r="B3" s="4"/>
      <c r="C3" s="4"/>
      <c r="D3" s="4"/>
      <c r="E3" s="4"/>
      <c r="F3" s="4"/>
    </row>
    <row r="4" spans="2:6" ht="13.15"/>
    <row r="5" spans="2:6" ht="19.5" customHeight="1">
      <c r="B5" s="5" t="s">
        <v>590</v>
      </c>
      <c r="C5" s="6"/>
      <c r="D5" s="6"/>
      <c r="E5" s="6"/>
      <c r="F5" s="6"/>
    </row>
    <row r="6" spans="2:6" ht="13.15">
      <c r="B6" s="7" t="s">
        <v>591</v>
      </c>
      <c r="C6" s="7" t="s">
        <v>592</v>
      </c>
      <c r="D6" s="7" t="s">
        <v>593</v>
      </c>
      <c r="E6" s="7" t="s">
        <v>594</v>
      </c>
    </row>
    <row r="7" spans="2:6" ht="31.5" customHeight="1">
      <c r="B7" s="10" t="s">
        <v>35</v>
      </c>
      <c r="C7" s="9" t="s">
        <v>595</v>
      </c>
      <c r="D7" s="9" t="s">
        <v>596</v>
      </c>
      <c r="E7" s="13" t="s">
        <v>597</v>
      </c>
    </row>
    <row r="8" spans="2:6" ht="31.5" customHeight="1">
      <c r="B8" s="10" t="s">
        <v>203</v>
      </c>
      <c r="C8" s="9" t="s">
        <v>598</v>
      </c>
      <c r="D8" s="9" t="s">
        <v>599</v>
      </c>
      <c r="E8" s="13" t="s">
        <v>600</v>
      </c>
    </row>
    <row r="9" spans="2:6" ht="31.5" customHeight="1">
      <c r="B9" s="10" t="s">
        <v>352</v>
      </c>
      <c r="C9" s="9" t="s">
        <v>601</v>
      </c>
      <c r="D9" s="9" t="s">
        <v>602</v>
      </c>
      <c r="E9" s="13" t="s">
        <v>603</v>
      </c>
    </row>
    <row r="10" spans="2:6" ht="13.15"/>
    <row r="11" spans="2:6" ht="19.5" customHeight="1">
      <c r="B11" s="5" t="s">
        <v>604</v>
      </c>
      <c r="C11" s="6"/>
      <c r="D11" s="6"/>
      <c r="E11" s="6"/>
      <c r="F11" s="6"/>
    </row>
    <row r="12" spans="2:6" ht="13.15">
      <c r="B12" s="7" t="s">
        <v>493</v>
      </c>
      <c r="C12" s="7" t="s">
        <v>605</v>
      </c>
      <c r="D12" s="7" t="s">
        <v>606</v>
      </c>
      <c r="E12" s="7" t="s">
        <v>607</v>
      </c>
    </row>
    <row r="13" spans="2:6" ht="27.75" customHeight="1">
      <c r="B13" s="10" t="s">
        <v>377</v>
      </c>
      <c r="C13" s="9" t="s">
        <v>608</v>
      </c>
      <c r="D13" s="9" t="s">
        <v>609</v>
      </c>
      <c r="E13" s="9" t="s">
        <v>610</v>
      </c>
    </row>
    <row r="14" spans="2:6" ht="27.75" customHeight="1">
      <c r="B14" s="10" t="s">
        <v>205</v>
      </c>
      <c r="C14" s="9" t="s">
        <v>611</v>
      </c>
      <c r="D14" s="9" t="s">
        <v>612</v>
      </c>
      <c r="E14" s="9" t="s">
        <v>613</v>
      </c>
    </row>
    <row r="15" spans="2:6" ht="27.75" customHeight="1">
      <c r="B15" s="10" t="s">
        <v>406</v>
      </c>
      <c r="C15" s="9" t="s">
        <v>614</v>
      </c>
      <c r="D15" s="9" t="s">
        <v>615</v>
      </c>
      <c r="E15" s="9" t="s">
        <v>616</v>
      </c>
    </row>
    <row r="16" spans="2:6" ht="27.75" customHeight="1">
      <c r="B16" s="10" t="s">
        <v>291</v>
      </c>
      <c r="C16" s="9" t="s">
        <v>617</v>
      </c>
      <c r="D16" s="9" t="s">
        <v>618</v>
      </c>
      <c r="E16" s="9" t="s">
        <v>619</v>
      </c>
    </row>
    <row r="17" spans="2:6" ht="27.75" customHeight="1">
      <c r="B17" s="10" t="s">
        <v>144</v>
      </c>
      <c r="C17" s="9" t="s">
        <v>620</v>
      </c>
      <c r="D17" s="9" t="s">
        <v>621</v>
      </c>
      <c r="E17" s="9" t="s">
        <v>622</v>
      </c>
    </row>
    <row r="18" spans="2:6" ht="27.75" customHeight="1">
      <c r="B18" s="10" t="s">
        <v>37</v>
      </c>
      <c r="C18" s="9" t="s">
        <v>623</v>
      </c>
      <c r="D18" s="9" t="s">
        <v>624</v>
      </c>
      <c r="E18" s="9" t="s">
        <v>625</v>
      </c>
    </row>
    <row r="19" spans="2:6" ht="27.75" customHeight="1">
      <c r="B19" s="10" t="s">
        <v>308</v>
      </c>
      <c r="C19" s="9" t="s">
        <v>626</v>
      </c>
      <c r="D19" s="9" t="s">
        <v>627</v>
      </c>
      <c r="E19" s="9" t="s">
        <v>628</v>
      </c>
    </row>
    <row r="20" spans="2:6" ht="27.75" customHeight="1">
      <c r="B20" s="10" t="s">
        <v>324</v>
      </c>
      <c r="C20" s="9" t="s">
        <v>629</v>
      </c>
      <c r="D20" s="9" t="s">
        <v>630</v>
      </c>
      <c r="E20" s="9" t="s">
        <v>631</v>
      </c>
    </row>
    <row r="21" spans="2:6" ht="27.75" customHeight="1">
      <c r="B21" s="10" t="s">
        <v>632</v>
      </c>
      <c r="C21" s="9" t="s">
        <v>633</v>
      </c>
      <c r="D21" s="9" t="s">
        <v>634</v>
      </c>
      <c r="E21" s="9" t="s">
        <v>635</v>
      </c>
    </row>
    <row r="22" spans="2:6" ht="40.9" customHeight="1">
      <c r="B22" s="58" t="s">
        <v>636</v>
      </c>
      <c r="C22" s="58"/>
      <c r="D22" s="58"/>
      <c r="E22" s="58"/>
    </row>
    <row r="23" spans="2:6" ht="13.15"/>
    <row r="24" spans="2:6" ht="19.5" customHeight="1">
      <c r="B24" s="5" t="s">
        <v>637</v>
      </c>
      <c r="C24" s="6"/>
      <c r="D24" s="6"/>
      <c r="E24" s="6"/>
      <c r="F24" s="6"/>
    </row>
    <row r="25" spans="2:6" ht="15" customHeight="1">
      <c r="B25" s="7" t="s">
        <v>638</v>
      </c>
      <c r="C25" s="7" t="s">
        <v>474</v>
      </c>
      <c r="D25" s="55" t="s">
        <v>639</v>
      </c>
      <c r="E25" s="55"/>
      <c r="F25" s="55"/>
    </row>
    <row r="26" spans="2:6" ht="25.5" customHeight="1">
      <c r="B26" s="10" t="s">
        <v>45</v>
      </c>
      <c r="C26" s="9" t="s">
        <v>640</v>
      </c>
      <c r="D26" s="52" t="s">
        <v>641</v>
      </c>
      <c r="E26" s="52"/>
      <c r="F26" s="52"/>
    </row>
    <row r="27" spans="2:6" ht="25.5" customHeight="1">
      <c r="B27" s="10" t="s">
        <v>224</v>
      </c>
      <c r="C27" s="9" t="s">
        <v>642</v>
      </c>
      <c r="D27" s="52" t="s">
        <v>643</v>
      </c>
      <c r="E27" s="52"/>
      <c r="F27" s="52"/>
    </row>
    <row r="28" spans="2:6" ht="25.5" customHeight="1">
      <c r="B28" s="10" t="s">
        <v>644</v>
      </c>
      <c r="C28" s="9" t="s">
        <v>645</v>
      </c>
      <c r="D28" s="52" t="s">
        <v>646</v>
      </c>
      <c r="E28" s="52"/>
      <c r="F28" s="52"/>
    </row>
    <row r="29" spans="2:6" ht="25.5" customHeight="1">
      <c r="B29" s="10" t="s">
        <v>316</v>
      </c>
      <c r="C29" s="9" t="s">
        <v>647</v>
      </c>
      <c r="D29" s="52" t="s">
        <v>648</v>
      </c>
      <c r="E29" s="52"/>
      <c r="F29" s="52"/>
    </row>
    <row r="30" spans="2:6" ht="25.5" customHeight="1">
      <c r="B30" s="10" t="s">
        <v>62</v>
      </c>
      <c r="C30" s="9" t="s">
        <v>649</v>
      </c>
      <c r="D30" s="52" t="s">
        <v>650</v>
      </c>
      <c r="E30" s="52"/>
      <c r="F30" s="52"/>
    </row>
    <row r="31" spans="2:6" ht="25.5" customHeight="1">
      <c r="B31" s="10" t="s">
        <v>92</v>
      </c>
      <c r="C31" s="9" t="s">
        <v>651</v>
      </c>
      <c r="D31" s="52" t="s">
        <v>652</v>
      </c>
      <c r="E31" s="52"/>
      <c r="F31" s="52"/>
    </row>
    <row r="32" spans="2:6" ht="25.5" customHeight="1">
      <c r="B32" s="10" t="s">
        <v>239</v>
      </c>
      <c r="C32" s="9" t="s">
        <v>653</v>
      </c>
      <c r="D32" s="52" t="s">
        <v>654</v>
      </c>
      <c r="E32" s="52"/>
      <c r="F32" s="52"/>
    </row>
    <row r="33" spans="2:6" ht="25.5" customHeight="1">
      <c r="B33" s="10" t="s">
        <v>255</v>
      </c>
      <c r="C33" s="9" t="s">
        <v>655</v>
      </c>
      <c r="D33" s="52" t="s">
        <v>656</v>
      </c>
      <c r="E33" s="52"/>
      <c r="F33" s="52"/>
    </row>
    <row r="34" spans="2:6" ht="13.15"/>
    <row r="35" spans="2:6" ht="19.5" customHeight="1">
      <c r="B35" s="5" t="s">
        <v>657</v>
      </c>
      <c r="C35" s="6"/>
      <c r="D35" s="6"/>
      <c r="E35" s="6"/>
      <c r="F35" s="6"/>
    </row>
    <row r="36" spans="2:6" ht="15" customHeight="1">
      <c r="B36" s="7" t="s">
        <v>658</v>
      </c>
      <c r="C36" s="7" t="s">
        <v>659</v>
      </c>
      <c r="D36" s="55" t="s">
        <v>660</v>
      </c>
      <c r="E36" s="55"/>
      <c r="F36" s="55"/>
    </row>
    <row r="37" spans="2:6" ht="27.75" customHeight="1">
      <c r="B37" s="10" t="s">
        <v>661</v>
      </c>
      <c r="C37" s="9" t="s">
        <v>662</v>
      </c>
      <c r="D37" s="57" t="s">
        <v>663</v>
      </c>
      <c r="E37" s="57"/>
      <c r="F37" s="57"/>
    </row>
    <row r="38" spans="2:6" ht="27.75" customHeight="1">
      <c r="B38" s="10" t="s">
        <v>664</v>
      </c>
      <c r="C38" s="9" t="s">
        <v>665</v>
      </c>
      <c r="D38" s="57" t="s">
        <v>663</v>
      </c>
      <c r="E38" s="57"/>
      <c r="F38" s="57"/>
    </row>
    <row r="39" spans="2:6" ht="27.75" customHeight="1">
      <c r="B39" s="10" t="s">
        <v>666</v>
      </c>
      <c r="C39" s="9" t="s">
        <v>667</v>
      </c>
      <c r="D39" s="57" t="s">
        <v>668</v>
      </c>
      <c r="E39" s="57"/>
      <c r="F39" s="57"/>
    </row>
    <row r="40" spans="2:6" ht="27.75" customHeight="1">
      <c r="B40" s="10" t="s">
        <v>669</v>
      </c>
      <c r="C40" s="9" t="s">
        <v>670</v>
      </c>
      <c r="D40" s="57" t="s">
        <v>671</v>
      </c>
      <c r="E40" s="57"/>
      <c r="F40" s="57"/>
    </row>
    <row r="41" spans="2:6" ht="27.75" customHeight="1">
      <c r="B41" s="10" t="s">
        <v>672</v>
      </c>
      <c r="C41" s="9" t="s">
        <v>673</v>
      </c>
      <c r="D41" s="57" t="s">
        <v>674</v>
      </c>
      <c r="E41" s="57"/>
      <c r="F41" s="57"/>
    </row>
    <row r="42" spans="2:6" ht="27.75" customHeight="1">
      <c r="B42" s="10" t="s">
        <v>675</v>
      </c>
      <c r="C42" s="9" t="s">
        <v>676</v>
      </c>
      <c r="D42" s="57" t="s">
        <v>677</v>
      </c>
      <c r="E42" s="57"/>
      <c r="F42" s="57"/>
    </row>
    <row r="43" spans="2:6" ht="27.75" customHeight="1">
      <c r="B43" s="10" t="s">
        <v>678</v>
      </c>
      <c r="C43" s="9" t="s">
        <v>679</v>
      </c>
      <c r="D43" s="57" t="s">
        <v>680</v>
      </c>
      <c r="E43" s="57"/>
      <c r="F43" s="57"/>
    </row>
    <row r="44" spans="2:6" ht="27.75" customHeight="1">
      <c r="B44" s="10" t="s">
        <v>681</v>
      </c>
      <c r="C44" s="9" t="s">
        <v>682</v>
      </c>
      <c r="D44" s="57" t="s">
        <v>683</v>
      </c>
      <c r="E44" s="57"/>
      <c r="F44" s="57"/>
    </row>
    <row r="45" spans="2:6" ht="27.75" customHeight="1">
      <c r="B45" s="10" t="s">
        <v>684</v>
      </c>
      <c r="C45" s="9" t="s">
        <v>685</v>
      </c>
      <c r="D45" s="57" t="s">
        <v>686</v>
      </c>
      <c r="E45" s="57"/>
      <c r="F45" s="57"/>
    </row>
    <row r="46" spans="2:6" ht="13.15"/>
    <row r="47" spans="2:6" ht="61.15">
      <c r="B47" s="30" t="s">
        <v>687</v>
      </c>
    </row>
    <row r="48" spans="2:6" ht="13.15"/>
    <row r="49" spans="2:2" ht="13.15">
      <c r="B49" s="15" t="s">
        <v>587</v>
      </c>
    </row>
  </sheetData>
  <mergeCells count="20">
    <mergeCell ref="D37:F37"/>
    <mergeCell ref="B22:E22"/>
    <mergeCell ref="D25:F25"/>
    <mergeCell ref="D26:F26"/>
    <mergeCell ref="D27:F27"/>
    <mergeCell ref="D28:F28"/>
    <mergeCell ref="D29:F29"/>
    <mergeCell ref="D30:F30"/>
    <mergeCell ref="D31:F31"/>
    <mergeCell ref="D32:F32"/>
    <mergeCell ref="D33:F33"/>
    <mergeCell ref="D36:F36"/>
    <mergeCell ref="D44:F44"/>
    <mergeCell ref="D45:F45"/>
    <mergeCell ref="D38:F38"/>
    <mergeCell ref="D39:F39"/>
    <mergeCell ref="D40:F40"/>
    <mergeCell ref="D41:F41"/>
    <mergeCell ref="D42:F42"/>
    <mergeCell ref="D43:F43"/>
  </mergeCells>
  <pageMargins left="0.75000000000000011" right="0.75000000000000011" top="1" bottom="1" header="0.51180000000000003" footer="0.51180000000000003"/>
  <pageSetup paperSize="0" fitToWidth="0" fitToHeight="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F7B13-FE1F-4221-A661-E3DCF3F59A56}">
  <dimension ref="A1:I71"/>
  <sheetViews>
    <sheetView tabSelected="1" workbookViewId="0">
      <selection activeCell="A5" sqref="A5"/>
    </sheetView>
  </sheetViews>
  <sheetFormatPr defaultColWidth="11.42578125" defaultRowHeight="13.15"/>
  <cols>
    <col min="1" max="1" width="72.85546875" customWidth="1"/>
    <col min="2" max="2" width="101.85546875" customWidth="1"/>
    <col min="3" max="3" width="35.28515625" customWidth="1"/>
    <col min="4" max="4" width="11.85546875" customWidth="1"/>
    <col min="5" max="5" width="47.42578125" customWidth="1"/>
  </cols>
  <sheetData>
    <row r="1" spans="1:5">
      <c r="A1" s="29" t="s">
        <v>688</v>
      </c>
      <c r="B1" s="29"/>
      <c r="C1" s="29"/>
      <c r="D1" s="29"/>
      <c r="E1" s="29"/>
    </row>
    <row r="2" spans="1:5">
      <c r="A2" s="29" t="s">
        <v>689</v>
      </c>
      <c r="B2" s="29"/>
      <c r="C2" s="29"/>
      <c r="D2" s="29"/>
      <c r="E2" s="29"/>
    </row>
    <row r="3" spans="1:5">
      <c r="A3" s="29"/>
      <c r="B3" s="29"/>
      <c r="C3" s="36"/>
      <c r="D3" s="29"/>
      <c r="E3" s="29"/>
    </row>
    <row r="4" spans="1:5">
      <c r="A4" s="46" t="s">
        <v>690</v>
      </c>
      <c r="B4" s="45"/>
      <c r="C4" s="37"/>
      <c r="D4" s="29"/>
      <c r="E4" s="29"/>
    </row>
    <row r="5" spans="1:5" ht="82.9" customHeight="1">
      <c r="A5" s="43" t="s">
        <v>691</v>
      </c>
      <c r="B5" s="44"/>
      <c r="C5" s="38"/>
      <c r="D5" s="29"/>
      <c r="E5" s="29"/>
    </row>
    <row r="6" spans="1:5">
      <c r="A6" s="29"/>
      <c r="B6" s="29"/>
      <c r="C6" s="29"/>
      <c r="D6" s="29"/>
      <c r="E6" s="29"/>
    </row>
    <row r="7" spans="1:5">
      <c r="A7" s="49" t="s">
        <v>692</v>
      </c>
      <c r="B7" s="49"/>
      <c r="C7" s="49"/>
      <c r="D7" s="29"/>
      <c r="E7" s="29"/>
    </row>
    <row r="8" spans="1:5">
      <c r="A8" s="42" t="s">
        <v>591</v>
      </c>
      <c r="B8" s="42" t="s">
        <v>693</v>
      </c>
      <c r="C8" s="42" t="s">
        <v>694</v>
      </c>
      <c r="D8" s="34"/>
      <c r="E8" s="29"/>
    </row>
    <row r="9" spans="1:5">
      <c r="A9" s="35" t="s">
        <v>35</v>
      </c>
      <c r="B9" s="33" t="s">
        <v>695</v>
      </c>
      <c r="C9" s="33" t="s">
        <v>597</v>
      </c>
      <c r="D9" s="34"/>
      <c r="E9" s="29"/>
    </row>
    <row r="10" spans="1:5">
      <c r="A10" s="35" t="s">
        <v>203</v>
      </c>
      <c r="B10" s="33" t="s">
        <v>696</v>
      </c>
      <c r="C10" s="33" t="s">
        <v>600</v>
      </c>
      <c r="D10" s="34"/>
      <c r="E10" s="29"/>
    </row>
    <row r="11" spans="1:5">
      <c r="A11" s="35" t="s">
        <v>352</v>
      </c>
      <c r="B11" s="33" t="s">
        <v>697</v>
      </c>
      <c r="C11" s="33" t="s">
        <v>603</v>
      </c>
      <c r="D11" s="34"/>
      <c r="E11" s="29"/>
    </row>
    <row r="12" spans="1:5">
      <c r="A12" s="29"/>
      <c r="B12" s="29"/>
      <c r="C12" s="29"/>
      <c r="D12" s="29"/>
      <c r="E12" s="29"/>
    </row>
    <row r="13" spans="1:5">
      <c r="A13" s="49" t="s">
        <v>698</v>
      </c>
      <c r="B13" s="49"/>
      <c r="C13" s="29"/>
      <c r="D13" s="29"/>
      <c r="E13" s="29"/>
    </row>
    <row r="14" spans="1:5">
      <c r="A14" s="42" t="s">
        <v>699</v>
      </c>
      <c r="B14" s="42" t="s">
        <v>700</v>
      </c>
      <c r="C14" s="29"/>
      <c r="D14" s="29"/>
      <c r="E14" s="29"/>
    </row>
    <row r="15" spans="1:5">
      <c r="A15" s="35" t="s">
        <v>48</v>
      </c>
      <c r="B15" s="33" t="s">
        <v>701</v>
      </c>
      <c r="C15" s="29"/>
      <c r="D15" s="29"/>
      <c r="E15" s="29"/>
    </row>
    <row r="16" spans="1:5">
      <c r="A16" s="35" t="s">
        <v>426</v>
      </c>
      <c r="B16" s="33" t="s">
        <v>702</v>
      </c>
      <c r="C16" s="29"/>
      <c r="D16" s="29"/>
      <c r="E16" s="29"/>
    </row>
    <row r="17" spans="1:5">
      <c r="A17" s="35" t="s">
        <v>558</v>
      </c>
      <c r="B17" s="33" t="s">
        <v>703</v>
      </c>
      <c r="C17" s="29"/>
      <c r="D17" s="29"/>
      <c r="E17" s="29"/>
    </row>
    <row r="18" spans="1:5">
      <c r="A18" s="29"/>
      <c r="B18" s="29"/>
      <c r="C18" s="29"/>
      <c r="D18" s="29"/>
      <c r="E18" s="29"/>
    </row>
    <row r="19" spans="1:5">
      <c r="A19" s="42" t="s">
        <v>24</v>
      </c>
      <c r="B19" s="42" t="s">
        <v>25</v>
      </c>
      <c r="C19" s="29"/>
      <c r="D19" s="29"/>
      <c r="E19" s="29"/>
    </row>
    <row r="20" spans="1:5">
      <c r="A20" s="33" t="s">
        <v>704</v>
      </c>
      <c r="B20" s="33" t="s">
        <v>705</v>
      </c>
      <c r="C20" s="29"/>
      <c r="D20" s="29"/>
      <c r="E20" s="29"/>
    </row>
    <row r="21" spans="1:5">
      <c r="A21" s="33" t="s">
        <v>706</v>
      </c>
      <c r="B21" s="33" t="s">
        <v>707</v>
      </c>
      <c r="C21" s="29"/>
      <c r="D21" s="29"/>
      <c r="E21" s="29"/>
    </row>
    <row r="22" spans="1:5">
      <c r="A22" s="33" t="s">
        <v>708</v>
      </c>
      <c r="B22" s="33" t="s">
        <v>709</v>
      </c>
      <c r="C22" s="29"/>
      <c r="D22" s="29"/>
      <c r="E22" s="29"/>
    </row>
    <row r="23" spans="1:5">
      <c r="A23" s="29"/>
      <c r="B23" s="29"/>
      <c r="C23" s="29"/>
      <c r="D23" s="29"/>
      <c r="E23" s="29"/>
    </row>
    <row r="24" spans="1:5">
      <c r="A24" s="50" t="s">
        <v>710</v>
      </c>
      <c r="B24" s="50"/>
      <c r="C24" s="50"/>
      <c r="D24" s="50"/>
      <c r="E24" s="50"/>
    </row>
    <row r="25" spans="1:5">
      <c r="A25" s="42" t="s">
        <v>8</v>
      </c>
      <c r="B25" s="42" t="s">
        <v>711</v>
      </c>
      <c r="C25" s="42" t="s">
        <v>591</v>
      </c>
      <c r="D25" s="42" t="s">
        <v>699</v>
      </c>
      <c r="E25" s="42" t="s">
        <v>712</v>
      </c>
    </row>
    <row r="26" spans="1:5">
      <c r="A26" s="35" t="s">
        <v>31</v>
      </c>
      <c r="B26" s="33" t="s">
        <v>32</v>
      </c>
      <c r="C26" s="33" t="s">
        <v>35</v>
      </c>
      <c r="D26" s="33" t="s">
        <v>48</v>
      </c>
      <c r="E26" s="33" t="s">
        <v>713</v>
      </c>
    </row>
    <row r="27" spans="1:5">
      <c r="A27" s="35" t="s">
        <v>52</v>
      </c>
      <c r="B27" s="33" t="s">
        <v>53</v>
      </c>
      <c r="C27" s="33" t="s">
        <v>35</v>
      </c>
      <c r="D27" s="33" t="s">
        <v>48</v>
      </c>
      <c r="E27" s="33" t="s">
        <v>66</v>
      </c>
    </row>
    <row r="28" spans="1:5">
      <c r="A28" s="35" t="s">
        <v>67</v>
      </c>
      <c r="B28" s="33" t="s">
        <v>68</v>
      </c>
      <c r="C28" s="33" t="s">
        <v>35</v>
      </c>
      <c r="D28" s="33" t="s">
        <v>48</v>
      </c>
      <c r="E28" s="33" t="s">
        <v>714</v>
      </c>
    </row>
    <row r="29" spans="1:5">
      <c r="A29" s="35" t="s">
        <v>82</v>
      </c>
      <c r="B29" s="33" t="s">
        <v>83</v>
      </c>
      <c r="C29" s="33" t="s">
        <v>35</v>
      </c>
      <c r="D29" s="33" t="s">
        <v>48</v>
      </c>
      <c r="E29" s="33" t="s">
        <v>715</v>
      </c>
    </row>
    <row r="30" spans="1:5">
      <c r="A30" s="35" t="s">
        <v>97</v>
      </c>
      <c r="B30" s="33" t="s">
        <v>98</v>
      </c>
      <c r="C30" s="33" t="s">
        <v>35</v>
      </c>
      <c r="D30" s="33" t="s">
        <v>48</v>
      </c>
      <c r="E30" s="33" t="s">
        <v>716</v>
      </c>
    </row>
    <row r="31" spans="1:5">
      <c r="A31" s="35" t="s">
        <v>111</v>
      </c>
      <c r="B31" s="33" t="s">
        <v>112</v>
      </c>
      <c r="C31" s="33" t="s">
        <v>35</v>
      </c>
      <c r="D31" s="33" t="s">
        <v>48</v>
      </c>
      <c r="E31" s="33" t="s">
        <v>717</v>
      </c>
    </row>
    <row r="32" spans="1:5">
      <c r="A32" s="35" t="s">
        <v>126</v>
      </c>
      <c r="B32" s="33" t="s">
        <v>127</v>
      </c>
      <c r="C32" s="33" t="s">
        <v>35</v>
      </c>
      <c r="D32" s="33" t="s">
        <v>48</v>
      </c>
      <c r="E32" s="33" t="s">
        <v>718</v>
      </c>
    </row>
    <row r="33" spans="1:5">
      <c r="A33" s="35" t="s">
        <v>140</v>
      </c>
      <c r="B33" s="33" t="s">
        <v>141</v>
      </c>
      <c r="C33" s="33" t="s">
        <v>35</v>
      </c>
      <c r="D33" s="33" t="s">
        <v>48</v>
      </c>
      <c r="E33" s="33" t="s">
        <v>719</v>
      </c>
    </row>
    <row r="34" spans="1:5">
      <c r="A34" s="35" t="s">
        <v>156</v>
      </c>
      <c r="B34" s="33" t="s">
        <v>157</v>
      </c>
      <c r="C34" s="33" t="s">
        <v>35</v>
      </c>
      <c r="D34" s="33" t="s">
        <v>48</v>
      </c>
      <c r="E34" s="33" t="s">
        <v>720</v>
      </c>
    </row>
    <row r="35" spans="1:5">
      <c r="A35" s="35" t="s">
        <v>171</v>
      </c>
      <c r="B35" s="33" t="s">
        <v>172</v>
      </c>
      <c r="C35" s="33" t="s">
        <v>35</v>
      </c>
      <c r="D35" s="33" t="s">
        <v>48</v>
      </c>
      <c r="E35" s="33" t="s">
        <v>185</v>
      </c>
    </row>
    <row r="36" spans="1:5">
      <c r="A36" s="35" t="s">
        <v>186</v>
      </c>
      <c r="B36" s="33" t="s">
        <v>187</v>
      </c>
      <c r="C36" s="33" t="s">
        <v>35</v>
      </c>
      <c r="D36" s="33" t="s">
        <v>48</v>
      </c>
      <c r="E36" s="33" t="s">
        <v>721</v>
      </c>
    </row>
    <row r="37" spans="1:5">
      <c r="A37" s="35" t="s">
        <v>201</v>
      </c>
      <c r="B37" s="33" t="s">
        <v>202</v>
      </c>
      <c r="C37" s="33" t="s">
        <v>203</v>
      </c>
      <c r="D37" s="33" t="s">
        <v>48</v>
      </c>
      <c r="E37" s="33" t="s">
        <v>722</v>
      </c>
    </row>
    <row r="38" spans="1:5">
      <c r="A38" s="35" t="s">
        <v>216</v>
      </c>
      <c r="B38" s="33" t="s">
        <v>217</v>
      </c>
      <c r="C38" s="33" t="s">
        <v>203</v>
      </c>
      <c r="D38" s="33" t="s">
        <v>48</v>
      </c>
      <c r="E38" s="33" t="s">
        <v>228</v>
      </c>
    </row>
    <row r="39" spans="1:5">
      <c r="A39" s="35" t="s">
        <v>229</v>
      </c>
      <c r="B39" s="33" t="s">
        <v>230</v>
      </c>
      <c r="C39" s="33" t="s">
        <v>203</v>
      </c>
      <c r="D39" s="33" t="s">
        <v>48</v>
      </c>
      <c r="E39" s="33" t="s">
        <v>243</v>
      </c>
    </row>
    <row r="40" spans="1:5">
      <c r="A40" s="35" t="s">
        <v>244</v>
      </c>
      <c r="B40" s="33" t="s">
        <v>245</v>
      </c>
      <c r="C40" s="33" t="s">
        <v>203</v>
      </c>
      <c r="D40" s="33" t="s">
        <v>48</v>
      </c>
      <c r="E40" s="33" t="s">
        <v>259</v>
      </c>
    </row>
    <row r="41" spans="1:5">
      <c r="A41" s="35" t="s">
        <v>260</v>
      </c>
      <c r="B41" s="33" t="s">
        <v>261</v>
      </c>
      <c r="C41" s="33" t="s">
        <v>203</v>
      </c>
      <c r="D41" s="33" t="s">
        <v>48</v>
      </c>
      <c r="E41" s="33" t="s">
        <v>723</v>
      </c>
    </row>
    <row r="42" spans="1:5">
      <c r="A42" s="35" t="s">
        <v>274</v>
      </c>
      <c r="B42" s="33" t="s">
        <v>275</v>
      </c>
      <c r="C42" s="33" t="s">
        <v>203</v>
      </c>
      <c r="D42" s="33" t="s">
        <v>48</v>
      </c>
      <c r="E42" s="33" t="s">
        <v>724</v>
      </c>
    </row>
    <row r="43" spans="1:5">
      <c r="A43" s="35" t="s">
        <v>288</v>
      </c>
      <c r="B43" s="33" t="s">
        <v>289</v>
      </c>
      <c r="C43" s="33" t="s">
        <v>203</v>
      </c>
      <c r="D43" s="33" t="s">
        <v>48</v>
      </c>
      <c r="E43" s="33" t="s">
        <v>725</v>
      </c>
    </row>
    <row r="44" spans="1:5">
      <c r="A44" s="35" t="s">
        <v>304</v>
      </c>
      <c r="B44" s="33" t="s">
        <v>305</v>
      </c>
      <c r="C44" s="33" t="s">
        <v>203</v>
      </c>
      <c r="D44" s="33" t="s">
        <v>48</v>
      </c>
      <c r="E44" s="33" t="s">
        <v>726</v>
      </c>
    </row>
    <row r="45" spans="1:5">
      <c r="A45" s="35" t="s">
        <v>321</v>
      </c>
      <c r="B45" s="33" t="s">
        <v>322</v>
      </c>
      <c r="C45" s="33" t="s">
        <v>203</v>
      </c>
      <c r="D45" s="33" t="s">
        <v>48</v>
      </c>
      <c r="E45" s="33" t="s">
        <v>335</v>
      </c>
    </row>
    <row r="46" spans="1:5">
      <c r="A46" s="35" t="s">
        <v>336</v>
      </c>
      <c r="B46" s="33" t="s">
        <v>337</v>
      </c>
      <c r="C46" s="33" t="s">
        <v>203</v>
      </c>
      <c r="D46" s="33" t="s">
        <v>48</v>
      </c>
      <c r="E46" s="33" t="s">
        <v>349</v>
      </c>
    </row>
    <row r="47" spans="1:5">
      <c r="A47" s="35" t="s">
        <v>350</v>
      </c>
      <c r="B47" s="33" t="s">
        <v>351</v>
      </c>
      <c r="C47" s="33" t="s">
        <v>352</v>
      </c>
      <c r="D47" s="33" t="s">
        <v>48</v>
      </c>
      <c r="E47" s="33" t="s">
        <v>727</v>
      </c>
    </row>
    <row r="48" spans="1:5">
      <c r="A48" s="35" t="s">
        <v>364</v>
      </c>
      <c r="B48" s="33" t="s">
        <v>365</v>
      </c>
      <c r="C48" s="33" t="s">
        <v>352</v>
      </c>
      <c r="D48" s="33" t="s">
        <v>48</v>
      </c>
      <c r="E48" s="33" t="s">
        <v>728</v>
      </c>
    </row>
    <row r="49" spans="1:9">
      <c r="A49" s="35" t="s">
        <v>374</v>
      </c>
      <c r="B49" s="33" t="s">
        <v>375</v>
      </c>
      <c r="C49" s="33" t="s">
        <v>352</v>
      </c>
      <c r="D49" s="33" t="s">
        <v>48</v>
      </c>
      <c r="E49" s="33" t="s">
        <v>729</v>
      </c>
    </row>
    <row r="50" spans="1:9">
      <c r="A50" s="35" t="s">
        <v>388</v>
      </c>
      <c r="B50" s="33" t="s">
        <v>389</v>
      </c>
      <c r="C50" s="33" t="s">
        <v>352</v>
      </c>
      <c r="D50" s="33" t="s">
        <v>48</v>
      </c>
      <c r="E50" s="33" t="s">
        <v>402</v>
      </c>
    </row>
    <row r="51" spans="1:9">
      <c r="A51" s="35" t="s">
        <v>403</v>
      </c>
      <c r="B51" s="33" t="s">
        <v>404</v>
      </c>
      <c r="C51" s="33" t="s">
        <v>352</v>
      </c>
      <c r="D51" s="33" t="s">
        <v>48</v>
      </c>
      <c r="E51" s="33" t="s">
        <v>416</v>
      </c>
    </row>
    <row r="52" spans="1:9">
      <c r="A52" s="35" t="s">
        <v>417</v>
      </c>
      <c r="B52" s="33" t="s">
        <v>418</v>
      </c>
      <c r="C52" s="33" t="s">
        <v>35</v>
      </c>
      <c r="D52" s="33" t="s">
        <v>426</v>
      </c>
      <c r="E52" s="33" t="s">
        <v>730</v>
      </c>
    </row>
    <row r="53" spans="1:9">
      <c r="A53" s="29"/>
      <c r="B53" s="29"/>
      <c r="C53" s="29"/>
      <c r="D53" s="29"/>
      <c r="E53" s="29"/>
    </row>
    <row r="54" spans="1:9">
      <c r="A54" s="39" t="s">
        <v>731</v>
      </c>
      <c r="B54" s="29"/>
      <c r="C54" s="29"/>
      <c r="D54" s="29"/>
      <c r="E54" s="29"/>
    </row>
    <row r="55" spans="1:9" ht="40.15" customHeight="1">
      <c r="A55" s="38" t="s">
        <v>732</v>
      </c>
      <c r="B55" s="29"/>
      <c r="C55" s="29"/>
      <c r="D55" s="29"/>
      <c r="E55" s="29"/>
    </row>
    <row r="56" spans="1:9">
      <c r="A56" s="29"/>
      <c r="B56" s="29"/>
      <c r="C56" s="29"/>
      <c r="D56" s="29"/>
      <c r="E56" s="29"/>
    </row>
    <row r="57" spans="1:9">
      <c r="A57" s="42" t="s">
        <v>733</v>
      </c>
      <c r="B57" s="42" t="s">
        <v>734</v>
      </c>
      <c r="C57" s="47" t="s">
        <v>735</v>
      </c>
      <c r="D57" s="47"/>
      <c r="E57" s="47"/>
      <c r="F57" s="47"/>
      <c r="G57" s="47"/>
      <c r="H57" s="47"/>
      <c r="I57" s="47"/>
    </row>
    <row r="58" spans="1:9">
      <c r="A58" s="33" t="s">
        <v>736</v>
      </c>
      <c r="B58" s="33" t="s">
        <v>737</v>
      </c>
      <c r="C58" s="48" t="s">
        <v>738</v>
      </c>
      <c r="D58" s="48"/>
      <c r="E58" s="48"/>
      <c r="F58" s="48"/>
      <c r="G58" s="48"/>
      <c r="H58" s="48"/>
      <c r="I58" s="48"/>
    </row>
    <row r="59" spans="1:9">
      <c r="A59" s="33" t="s">
        <v>739</v>
      </c>
      <c r="B59" s="33" t="s">
        <v>740</v>
      </c>
      <c r="C59" s="48" t="s">
        <v>741</v>
      </c>
      <c r="D59" s="48"/>
      <c r="E59" s="48"/>
      <c r="F59" s="48"/>
      <c r="G59" s="48"/>
      <c r="H59" s="48"/>
      <c r="I59" s="48"/>
    </row>
    <row r="60" spans="1:9">
      <c r="A60" s="33" t="s">
        <v>742</v>
      </c>
      <c r="B60" s="33" t="s">
        <v>743</v>
      </c>
      <c r="C60" s="48" t="s">
        <v>744</v>
      </c>
      <c r="D60" s="48"/>
      <c r="E60" s="48"/>
      <c r="F60" s="48"/>
      <c r="G60" s="48"/>
      <c r="H60" s="48"/>
      <c r="I60" s="48"/>
    </row>
    <row r="61" spans="1:9">
      <c r="A61" s="33" t="s">
        <v>745</v>
      </c>
      <c r="B61" s="33" t="s">
        <v>746</v>
      </c>
      <c r="C61" s="48" t="s">
        <v>747</v>
      </c>
      <c r="D61" s="48"/>
      <c r="E61" s="48"/>
      <c r="F61" s="48"/>
      <c r="G61" s="48"/>
      <c r="H61" s="48"/>
      <c r="I61" s="48"/>
    </row>
    <row r="62" spans="1:9">
      <c r="A62" s="33" t="s">
        <v>748</v>
      </c>
      <c r="B62" s="33" t="s">
        <v>749</v>
      </c>
      <c r="C62" s="48" t="s">
        <v>750</v>
      </c>
      <c r="D62" s="48"/>
      <c r="E62" s="48"/>
      <c r="F62" s="48"/>
      <c r="G62" s="48"/>
      <c r="H62" s="48"/>
      <c r="I62" s="48"/>
    </row>
    <row r="63" spans="1:9">
      <c r="A63" s="33" t="s">
        <v>751</v>
      </c>
      <c r="B63" s="33" t="s">
        <v>752</v>
      </c>
      <c r="C63" s="48" t="s">
        <v>753</v>
      </c>
      <c r="D63" s="48"/>
      <c r="E63" s="48"/>
      <c r="F63" s="48"/>
      <c r="G63" s="48"/>
      <c r="H63" s="48"/>
      <c r="I63" s="48"/>
    </row>
    <row r="64" spans="1:9">
      <c r="A64" s="33" t="s">
        <v>754</v>
      </c>
      <c r="B64" s="33" t="s">
        <v>755</v>
      </c>
      <c r="C64" s="48" t="s">
        <v>756</v>
      </c>
      <c r="D64" s="48"/>
      <c r="E64" s="48"/>
      <c r="F64" s="48"/>
      <c r="G64" s="48"/>
      <c r="H64" s="48"/>
      <c r="I64" s="48"/>
    </row>
    <row r="65" spans="1:5">
      <c r="A65" s="29"/>
      <c r="B65" s="29"/>
      <c r="C65" s="29"/>
      <c r="D65" s="29"/>
      <c r="E65" s="29"/>
    </row>
    <row r="66" spans="1:5">
      <c r="A66" s="40" t="s">
        <v>757</v>
      </c>
      <c r="B66" s="29"/>
      <c r="C66" s="29"/>
      <c r="D66" s="29"/>
      <c r="E66" s="29"/>
    </row>
    <row r="67" spans="1:5" ht="118.9">
      <c r="A67" s="41" t="s">
        <v>758</v>
      </c>
      <c r="B67" s="29" t="s">
        <v>759</v>
      </c>
      <c r="C67" s="29"/>
      <c r="D67" s="29"/>
      <c r="E67" s="29"/>
    </row>
    <row r="68" spans="1:5">
      <c r="A68" s="29"/>
      <c r="B68" s="29"/>
      <c r="C68" s="29"/>
      <c r="D68" s="29"/>
      <c r="E68" s="29"/>
    </row>
    <row r="69" spans="1:5">
      <c r="A69" s="40" t="s">
        <v>760</v>
      </c>
      <c r="B69" s="29"/>
      <c r="C69" s="29"/>
      <c r="D69" s="29"/>
      <c r="E69" s="29"/>
    </row>
    <row r="70" spans="1:5" ht="52.9">
      <c r="A70" s="41" t="s">
        <v>761</v>
      </c>
      <c r="B70" s="29" t="s">
        <v>759</v>
      </c>
      <c r="C70" s="29"/>
      <c r="D70" s="29"/>
      <c r="E70" s="29"/>
    </row>
    <row r="71" spans="1:5" ht="39.6">
      <c r="A71" s="41" t="s">
        <v>762</v>
      </c>
      <c r="B71" s="29" t="s">
        <v>759</v>
      </c>
      <c r="C71" s="29"/>
      <c r="D71" s="29"/>
      <c r="E71" s="29"/>
    </row>
  </sheetData>
  <mergeCells count="11">
    <mergeCell ref="C62:I62"/>
    <mergeCell ref="C63:I63"/>
    <mergeCell ref="C64:I64"/>
    <mergeCell ref="A7:C7"/>
    <mergeCell ref="A13:B13"/>
    <mergeCell ref="A24:E24"/>
    <mergeCell ref="C57:I57"/>
    <mergeCell ref="C58:I58"/>
    <mergeCell ref="C59:I59"/>
    <mergeCell ref="C60:I60"/>
    <mergeCell ref="C61:I61"/>
  </mergeCells>
  <pageMargins left="0" right="0" top="0.39370000000000011" bottom="0.39370000000000011" header="0" footer="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LAURA SOFIA DIAZ SUAREZ.E -67</cp:lastModifiedBy>
  <cp:revision>0</cp:revision>
  <dcterms:created xsi:type="dcterms:W3CDTF">2026-08-18T21:44:35Z</dcterms:created>
  <dcterms:modified xsi:type="dcterms:W3CDTF">2026-10-19T21:01:01Z</dcterms:modified>
  <cp:category/>
  <cp:contentStatus/>
</cp:coreProperties>
</file>