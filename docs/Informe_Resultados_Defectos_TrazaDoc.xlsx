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ofia\AppData\Local\Temp\claude\c--Users-sofia-OneDrive-Escritorio-Blockchain-Contratos\536b5854-6e74-4928-89b2-83d80b282f91\scratchpad\pps\"/>
    </mc:Choice>
  </mc:AlternateContent>
  <xr:revisionPtr revIDLastSave="0" documentId="13_ncr:1_{A9F98AD7-A99A-4270-8F89-3D48152E00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Resultados" sheetId="2" r:id="rId2"/>
    <sheet name="Defectos" sheetId="3" r:id="rId3"/>
    <sheet name="Dat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4" l="1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D9" i="2"/>
  <c r="C9" i="2"/>
  <c r="B9" i="2"/>
  <c r="D8" i="2"/>
  <c r="C8" i="2"/>
  <c r="F8" i="2" s="1"/>
  <c r="B8" i="2"/>
  <c r="E8" i="2" s="1"/>
  <c r="D7" i="2"/>
  <c r="C7" i="2"/>
  <c r="F7" i="2" s="1"/>
  <c r="B7" i="2"/>
  <c r="D6" i="2"/>
  <c r="C6" i="2"/>
  <c r="B6" i="2"/>
  <c r="E6" i="2" s="1"/>
  <c r="D5" i="2"/>
  <c r="C5" i="2"/>
  <c r="F5" i="2" s="1"/>
  <c r="B5" i="2"/>
  <c r="E5" i="2" s="1"/>
  <c r="D4" i="2"/>
  <c r="C4" i="2"/>
  <c r="B4" i="2"/>
  <c r="A30" i="1"/>
  <c r="D23" i="1"/>
  <c r="B23" i="1"/>
  <c r="D22" i="1"/>
  <c r="B22" i="1"/>
  <c r="C22" i="1" s="1"/>
  <c r="D21" i="1"/>
  <c r="B21" i="1"/>
  <c r="C21" i="1" s="1"/>
  <c r="D20" i="1"/>
  <c r="B20" i="1"/>
  <c r="C20" i="1" s="1"/>
  <c r="D17" i="1"/>
  <c r="D16" i="1"/>
  <c r="D15" i="1"/>
  <c r="B14" i="1"/>
  <c r="B9" i="1"/>
  <c r="B8" i="1"/>
  <c r="B7" i="1"/>
  <c r="B6" i="1" s="1"/>
  <c r="B5" i="1"/>
  <c r="A2" i="1"/>
  <c r="E9" i="2" l="1"/>
  <c r="D24" i="1"/>
  <c r="F9" i="2"/>
  <c r="E7" i="2"/>
  <c r="F6" i="2"/>
  <c r="D10" i="2"/>
  <c r="B10" i="1"/>
  <c r="A27" i="1" s="1"/>
  <c r="B11" i="1"/>
  <c r="C10" i="2"/>
  <c r="F10" i="2" s="1"/>
  <c r="F4" i="2"/>
  <c r="B10" i="2"/>
  <c r="E4" i="2"/>
  <c r="E10" i="2" s="1"/>
  <c r="C23" i="1"/>
  <c r="C24" i="1" s="1"/>
  <c r="B24" i="1"/>
  <c r="A29" i="1" s="1"/>
  <c r="D14" i="1"/>
  <c r="A28" i="1" s="1"/>
</calcChain>
</file>

<file path=xl/sharedStrings.xml><?xml version="1.0" encoding="utf-8"?>
<sst xmlns="http://schemas.openxmlformats.org/spreadsheetml/2006/main" count="503" uniqueCount="216">
  <si>
    <t>Informe de resultados y defectos · TrazaDoc</t>
  </si>
  <si>
    <t>1. Ejecución</t>
  </si>
  <si>
    <t>Valor</t>
  </si>
  <si>
    <t>Casos planeados</t>
  </si>
  <si>
    <t>Casos ejecutados</t>
  </si>
  <si>
    <t>Aprobados (PASS)</t>
  </si>
  <si>
    <t>Fallidos (FAIL)</t>
  </si>
  <si>
    <t>Sin ejecutar</t>
  </si>
  <si>
    <t>% de ejecución</t>
  </si>
  <si>
    <t>% de aprobación (PASS / ejecutados)</t>
  </si>
  <si>
    <t>2. Indicadores del OE4</t>
  </si>
  <si>
    <t>Resultado</t>
  </si>
  <si>
    <t>Meta</t>
  </si>
  <si>
    <t>Estado</t>
  </si>
  <si>
    <t>Casos funcionales aprobados</t>
  </si>
  <si>
    <t>Meta: al menos 46 de 51 casos</t>
  </si>
  <si>
    <t>Detección de alteraciones (20 documentos)</t>
  </si>
  <si>
    <t>tests/integrity, 20/20 detectadas (25/10/2026)</t>
  </si>
  <si>
    <t>Falsos positivos (originales marcados como alterados)</t>
  </si>
  <si>
    <t>tests/integrity (25/10/2026)</t>
  </si>
  <si>
    <t>Latencia de verificación, percentil 95 (ms)</t>
  </si>
  <si>
    <t>tests/perf, ensayo del 15/10/2026</t>
  </si>
  <si>
    <t>3. Defectos</t>
  </si>
  <si>
    <t>Total</t>
  </si>
  <si>
    <t>Abiertos</t>
  </si>
  <si>
    <t>Cerrados</t>
  </si>
  <si>
    <t>Crítica</t>
  </si>
  <si>
    <t>Alta</t>
  </si>
  <si>
    <t>Media</t>
  </si>
  <si>
    <t>Baja</t>
  </si>
  <si>
    <t>4. Resumen para el documento principal</t>
  </si>
  <si>
    <t>Resultados por módulo</t>
  </si>
  <si>
    <t>Módulo</t>
  </si>
  <si>
    <t>Casos</t>
  </si>
  <si>
    <t>PASS</t>
  </si>
  <si>
    <t>FAIL</t>
  </si>
  <si>
    <t>% PASS de ejecutados</t>
  </si>
  <si>
    <t>EP-01 Autenticación y control de acceso</t>
  </si>
  <si>
    <t>EP-02 Registro y gestión documental (Empleado)</t>
  </si>
  <si>
    <t>EP-03 Verificación de integridad documental (Verificador)</t>
  </si>
  <si>
    <t>EP-04 Administración del sistema</t>
  </si>
  <si>
    <t>EP-05 Infraestructura y despliegue</t>
  </si>
  <si>
    <t>Transversal</t>
  </si>
  <si>
    <t>Casos fallidos</t>
  </si>
  <si>
    <t>Caso</t>
  </si>
  <si>
    <t>Descripción</t>
  </si>
  <si>
    <t>Defecto</t>
  </si>
  <si>
    <t>CP-11</t>
  </si>
  <si>
    <t>Registro de intentos fallidos</t>
  </si>
  <si>
    <t>DEF-03</t>
  </si>
  <si>
    <t>CP-13</t>
  </si>
  <si>
    <t>Política de datos en el primer ingreso</t>
  </si>
  <si>
    <t>DEF-04</t>
  </si>
  <si>
    <t>CP-14</t>
  </si>
  <si>
    <t>Aceptación de la política</t>
  </si>
  <si>
    <t>CP-15</t>
  </si>
  <si>
    <t>Acceso sin aceptar la política</t>
  </si>
  <si>
    <t>CP-29</t>
  </si>
  <si>
    <t>Empleado sin acceso a la huella ajena</t>
  </si>
  <si>
    <t>DEF-06</t>
  </si>
  <si>
    <t>Defectos y acciones correctivas</t>
  </si>
  <si>
    <t>ID</t>
  </si>
  <si>
    <t>Severidad</t>
  </si>
  <si>
    <t>Prioridad</t>
  </si>
  <si>
    <t>Acción correctiva</t>
  </si>
  <si>
    <t>Responsable</t>
  </si>
  <si>
    <t>DEF-01</t>
  </si>
  <si>
    <t>La lista de contratos del Verificador no se actualiza después de verificar</t>
  </si>
  <si>
    <t>CP-35</t>
  </si>
  <si>
    <t>P3 Media</t>
  </si>
  <si>
    <t>Nuevo</t>
  </si>
  <si>
    <t>Recargar la lista de documentos después de cada verificación.</t>
  </si>
  <si>
    <t>Laura Sofia Diaz Suarez</t>
  </si>
  <si>
    <t>DEF-02</t>
  </si>
  <si>
    <t>"Reenviar código" no envía un código nuevo</t>
  </si>
  <si>
    <t>CP-03</t>
  </si>
  <si>
    <t>P2 Alta</t>
  </si>
  <si>
    <t>Hacer que el botón vuelva a pedir el código al servidor.</t>
  </si>
  <si>
    <t>No se registran los intentos fallidos de inicio de sesión</t>
  </si>
  <si>
    <t>Guardar cada intento fallido (correo, fecha, hora y motivo, sin la contraseña).</t>
  </si>
  <si>
    <t>Sofia Ortiz Daza</t>
  </si>
  <si>
    <t>No existe la aceptación de la política de tratamiento de datos</t>
  </si>
  <si>
    <t>CP-13 a CP-15</t>
  </si>
  <si>
    <t>P1 Urgente</t>
  </si>
  <si>
    <t>Mostrar la política en el primer ingreso y guardar su aceptación con versión y fecha.</t>
  </si>
  <si>
    <t>Sofia y Laura</t>
  </si>
  <si>
    <t>DEF-05</t>
  </si>
  <si>
    <t>Los estados se muestran en minúscula</t>
  </si>
  <si>
    <t>CP-22</t>
  </si>
  <si>
    <t>P4 Baja</t>
  </si>
  <si>
    <t>Mostrar los estados con mayúscula inicial.</t>
  </si>
  <si>
    <t>Un Empleado puede consultar los datos de un documento ajeno</t>
  </si>
  <si>
    <t>Negar el acceso (403) a documentos de otros empleados.</t>
  </si>
  <si>
    <t>Datos de ejecución (fuente de las fórmulas)</t>
  </si>
  <si>
    <t>Copiados de docs/Pruebas_QA_QC_TrazaDoc.xlsx (hoja Casos de prueba). Para actualizar tras el Ciclo 2, pegar en la columna F el estado del Ciclo 2.</t>
  </si>
  <si>
    <t>Tipo</t>
  </si>
  <si>
    <t>Épica</t>
  </si>
  <si>
    <t>Estado ciclo 1</t>
  </si>
  <si>
    <t>Estado ciclo 2</t>
  </si>
  <si>
    <t>Último resultado</t>
  </si>
  <si>
    <t>CP-01</t>
  </si>
  <si>
    <t>Funcional</t>
  </si>
  <si>
    <t>Inicio de sesión con credenciales válidas</t>
  </si>
  <si>
    <t>No ejecutado</t>
  </si>
  <si>
    <t>CP-02</t>
  </si>
  <si>
    <t>Inicio de sesión con credenciales inválidas</t>
  </si>
  <si>
    <t>Código de verificación válido</t>
  </si>
  <si>
    <t>CP-04</t>
  </si>
  <si>
    <t>Acceso a un panel de otro rol</t>
  </si>
  <si>
    <t>CP-05</t>
  </si>
  <si>
    <t>Cierre de sesión</t>
  </si>
  <si>
    <t>CP-06</t>
  </si>
  <si>
    <t>Acceso después de cerrar sesión</t>
  </si>
  <si>
    <t>CP-07</t>
  </si>
  <si>
    <t>Cambio de contraseña correcto</t>
  </si>
  <si>
    <t>CP-08</t>
  </si>
  <si>
    <t>Cambio de contraseña con la actual errada</t>
  </si>
  <si>
    <t>CP-09</t>
  </si>
  <si>
    <t>Bloqueo tras 5 intentos fallidos</t>
  </si>
  <si>
    <t>CP-10</t>
  </si>
  <si>
    <t>Desbloqueo pasados 15 minutos</t>
  </si>
  <si>
    <t>CP-12</t>
  </si>
  <si>
    <t>Cierre por inactividad</t>
  </si>
  <si>
    <t>CP-16</t>
  </si>
  <si>
    <t>Carga de un PDF válido de 10 MB</t>
  </si>
  <si>
    <t>CP-17</t>
  </si>
  <si>
    <t>Rechazo de DOCX o PDF de 25 MB</t>
  </si>
  <si>
    <t>CP-18</t>
  </si>
  <si>
    <t>Metadatos y huella automáticos</t>
  </si>
  <si>
    <t>CP-19</t>
  </si>
  <si>
    <t>La huella no cambia para el mismo contenido</t>
  </si>
  <si>
    <t>CP-20</t>
  </si>
  <si>
    <t>Registro en la blockchain con txID</t>
  </si>
  <si>
    <t>CP-21</t>
  </si>
  <si>
    <t>Falla de la red blockchain</t>
  </si>
  <si>
    <t>Mis documentos muestra solo los propios</t>
  </si>
  <si>
    <t>CP-23</t>
  </si>
  <si>
    <t>Estado inicial Pendiente</t>
  </si>
  <si>
    <t>CP-24</t>
  </si>
  <si>
    <t>Trazabilidad de mis documentos</t>
  </si>
  <si>
    <t>CP-25</t>
  </si>
  <si>
    <t>Trazabilidad de un documento ajeno</t>
  </si>
  <si>
    <t>CP-26</t>
  </si>
  <si>
    <t>Selección de un documento registrado</t>
  </si>
  <si>
    <t>CP-27</t>
  </si>
  <si>
    <t>Identificador inexistente</t>
  </si>
  <si>
    <t>CP-28</t>
  </si>
  <si>
    <t>Huella completa para el Verificador</t>
  </si>
  <si>
    <t>CP-30</t>
  </si>
  <si>
    <t>Carga del archivo a comparar</t>
  </si>
  <si>
    <t>CP-31</t>
  </si>
  <si>
    <t>Archivo a comparar de 30 MB</t>
  </si>
  <si>
    <t>CP-32</t>
  </si>
  <si>
    <t>Huellas idénticas</t>
  </si>
  <si>
    <t>CP-33</t>
  </si>
  <si>
    <t>Huellas distintas</t>
  </si>
  <si>
    <t>CP-34</t>
  </si>
  <si>
    <t>Estado Verificado y evento en el ledger</t>
  </si>
  <si>
    <t>Nueva verificación</t>
  </si>
  <si>
    <t>CP-36</t>
  </si>
  <si>
    <t>Listado general de documentos</t>
  </si>
  <si>
    <t>CP-37</t>
  </si>
  <si>
    <t>Huella restringida para roles no autorizados</t>
  </si>
  <si>
    <t>CP-38</t>
  </si>
  <si>
    <t>Trazabilidad global</t>
  </si>
  <si>
    <t>CP-39</t>
  </si>
  <si>
    <t>Campos de la trazabilidad global</t>
  </si>
  <si>
    <t>CP-40</t>
  </si>
  <si>
    <t>Panel con los cuatro totales</t>
  </si>
  <si>
    <t>CP-41</t>
  </si>
  <si>
    <t>La suma de estados coincide con el total</t>
  </si>
  <si>
    <t>CP-42</t>
  </si>
  <si>
    <t>Creación de usuario</t>
  </si>
  <si>
    <t>CP-43</t>
  </si>
  <si>
    <t>Desactivación conserva el historial</t>
  </si>
  <si>
    <t>CP-44</t>
  </si>
  <si>
    <t>Listado administrativo de documentos</t>
  </si>
  <si>
    <t>CP-45</t>
  </si>
  <si>
    <t>Mismos campos que el Verificador</t>
  </si>
  <si>
    <t>CP-46</t>
  </si>
  <si>
    <t>Trazabilidad administrativa</t>
  </si>
  <si>
    <t>CP-47</t>
  </si>
  <si>
    <t>Detalle igual o mayor que el Verificador</t>
  </si>
  <si>
    <t>CP-48</t>
  </si>
  <si>
    <t>Cambio de rol</t>
  </si>
  <si>
    <t>CP-49</t>
  </si>
  <si>
    <t>Desactivación (edición de usuarios)</t>
  </si>
  <si>
    <t>CP-50</t>
  </si>
  <si>
    <t>Todo el sistema arranca en contenedores</t>
  </si>
  <si>
    <t>CP-51</t>
  </si>
  <si>
    <t>El frontend no habla con la blockchain</t>
  </si>
  <si>
    <t>INT-01</t>
  </si>
  <si>
    <t>Integridad</t>
  </si>
  <si>
    <t>Mutación documental de los 20 documentos sintéticos</t>
  </si>
  <si>
    <t>INT-02</t>
  </si>
  <si>
    <t>Alteración de texto en la interfaz</t>
  </si>
  <si>
    <t>INT-03</t>
  </si>
  <si>
    <t>Alteración de firma en la interfaz</t>
  </si>
  <si>
    <t>INT-04</t>
  </si>
  <si>
    <t>Alteración solo de metadatos</t>
  </si>
  <si>
    <t>INT-05</t>
  </si>
  <si>
    <t>Cambio de un solo carácter</t>
  </si>
  <si>
    <t>INT-06</t>
  </si>
  <si>
    <t>Anexo agregado</t>
  </si>
  <si>
    <t>TRZ-01</t>
  </si>
  <si>
    <t>Trazabilidad</t>
  </si>
  <si>
    <t>Orden cronológico del historial</t>
  </si>
  <si>
    <t>TRZ-02</t>
  </si>
  <si>
    <t>Inmutabilidad del registro</t>
  </si>
  <si>
    <t>TRZ-03</t>
  </si>
  <si>
    <t>Consistencia entre la blockchain y la base de datos</t>
  </si>
  <si>
    <t>REN-01</t>
  </si>
  <si>
    <t>Rendimiento</t>
  </si>
  <si>
    <t>Latencia de la verificación</t>
  </si>
  <si>
    <t>REN-02</t>
  </si>
  <si>
    <t>Latencia de la escritura del 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</si>
</sst>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≥ &quot;0%"/>
    <numFmt numFmtId="166" formatCode="&quot;≤ &quot;#,##0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b/>
      <sz val="14"/>
      <name val="Arial"/>
    </font>
    <font>
      <i/>
      <sz val="8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0"/>
  <sheetViews>
    <sheetView showGridLines="0" tabSelected="1" workbookViewId="0"/>
  </sheetViews>
  <sheetFormatPr baseColWidth="10" defaultColWidth="9.140625" defaultRowHeight="15" x14ac:dyDescent="0.25"/>
  <cols>
    <col min="1" max="1" width="44" customWidth="1"/>
    <col min="2" max="4" width="16" customWidth="1"/>
    <col min="5" max="5" width="30" customWidth="1"/>
  </cols>
  <sheetData>
    <row r="1" spans="1:5" ht="18" x14ac:dyDescent="0.25">
      <c r="A1" s="1" t="s">
        <v>0</v>
      </c>
    </row>
    <row r="2" spans="1:5" ht="15" customHeight="1" x14ac:dyDescent="0.25">
      <c r="A2" s="2" t="str">
        <f>"Fuente de los resultados: "&amp;IF(COUNTIF(Datos!$F$5:$F$66,"No ejecutado")=62,"Ciclo 1, entorno local (11 al 25 de octubre de 2026). Ciclo 2 en Azure pendiente.","Último resultado de cada caso (Ciclo 2 en Azure cuando ya se ejecutó).")</f>
        <v>Fuente de los resultados: Ciclo 1, entorno local (11 al 25 de octubre de 2026). Ciclo 2 en Azure pendiente.</v>
      </c>
    </row>
    <row r="4" spans="1:5" x14ac:dyDescent="0.25">
      <c r="A4" s="3" t="s">
        <v>1</v>
      </c>
      <c r="B4" s="3" t="s">
        <v>2</v>
      </c>
    </row>
    <row r="5" spans="1:5" x14ac:dyDescent="0.25">
      <c r="A5" s="4" t="s">
        <v>3</v>
      </c>
      <c r="B5" s="5">
        <f>COUNTA(Datos!$A$5:$A$66)</f>
        <v>62</v>
      </c>
    </row>
    <row r="6" spans="1:5" x14ac:dyDescent="0.25">
      <c r="A6" s="4" t="s">
        <v>4</v>
      </c>
      <c r="B6" s="5">
        <f>B7+B8</f>
        <v>50</v>
      </c>
    </row>
    <row r="7" spans="1:5" x14ac:dyDescent="0.25">
      <c r="A7" s="4" t="s">
        <v>5</v>
      </c>
      <c r="B7" s="5">
        <f>COUNTIF(Datos!$G$5:$G$66,"PASS")</f>
        <v>45</v>
      </c>
    </row>
    <row r="8" spans="1:5" x14ac:dyDescent="0.25">
      <c r="A8" s="4" t="s">
        <v>6</v>
      </c>
      <c r="B8" s="5">
        <f>COUNTIF(Datos!$G$5:$G$66,"FAIL")</f>
        <v>5</v>
      </c>
    </row>
    <row r="9" spans="1:5" x14ac:dyDescent="0.25">
      <c r="A9" s="4" t="s">
        <v>7</v>
      </c>
      <c r="B9" s="5">
        <f>COUNTIF(Datos!$G$5:$G$66,"No ejecutado")+COUNTIF(Datos!$G$5:$G$66,"Bloqueado")</f>
        <v>12</v>
      </c>
    </row>
    <row r="10" spans="1:5" x14ac:dyDescent="0.25">
      <c r="A10" s="4" t="s">
        <v>8</v>
      </c>
      <c r="B10" s="6">
        <f>IF(B5=0,0,B6/B5)</f>
        <v>0.80645161290322576</v>
      </c>
    </row>
    <row r="11" spans="1:5" x14ac:dyDescent="0.25">
      <c r="A11" s="4" t="s">
        <v>9</v>
      </c>
      <c r="B11" s="6">
        <f>IF(B6=0,0,B7/B6)</f>
        <v>0.9</v>
      </c>
    </row>
    <row r="13" spans="1:5" x14ac:dyDescent="0.25">
      <c r="A13" s="3" t="s">
        <v>10</v>
      </c>
      <c r="B13" s="3" t="s">
        <v>11</v>
      </c>
      <c r="C13" s="3" t="s">
        <v>12</v>
      </c>
      <c r="D13" s="3" t="s">
        <v>13</v>
      </c>
    </row>
    <row r="14" spans="1:5" x14ac:dyDescent="0.25">
      <c r="A14" s="4" t="s">
        <v>14</v>
      </c>
      <c r="B14" s="6">
        <f>COUNTIFS(Datos!$B$5:$B$66,"Funcional",Datos!$G$5:$G$66,"PASS")/COUNTIF(Datos!$B$5:$B$66,"Funcional")</f>
        <v>0.78431372549019607</v>
      </c>
      <c r="C14" s="7">
        <v>0.9</v>
      </c>
      <c r="D14" s="5" t="str">
        <f>IF(B14&gt;=C14,"Cumple","No cumple")</f>
        <v>No cumple</v>
      </c>
      <c r="E14" s="8" t="s">
        <v>15</v>
      </c>
    </row>
    <row r="15" spans="1:5" ht="22.5" x14ac:dyDescent="0.25">
      <c r="A15" s="4" t="s">
        <v>16</v>
      </c>
      <c r="B15" s="9">
        <v>1</v>
      </c>
      <c r="C15" s="10">
        <v>1</v>
      </c>
      <c r="D15" s="5" t="str">
        <f>IF(B15&gt;=C15,"Cumple","No cumple")</f>
        <v>Cumple</v>
      </c>
      <c r="E15" s="8" t="s">
        <v>17</v>
      </c>
    </row>
    <row r="16" spans="1:5" ht="25.5" x14ac:dyDescent="0.25">
      <c r="A16" s="4" t="s">
        <v>18</v>
      </c>
      <c r="B16" s="11">
        <v>0</v>
      </c>
      <c r="C16" s="5">
        <v>0</v>
      </c>
      <c r="D16" s="5" t="str">
        <f>IF(B16&lt;=C16,"Cumple","No cumple")</f>
        <v>Cumple</v>
      </c>
      <c r="E16" s="8" t="s">
        <v>19</v>
      </c>
    </row>
    <row r="17" spans="1:5" x14ac:dyDescent="0.25">
      <c r="A17" s="4" t="s">
        <v>20</v>
      </c>
      <c r="B17" s="12">
        <v>2040</v>
      </c>
      <c r="C17" s="13">
        <v>3000</v>
      </c>
      <c r="D17" s="5" t="str">
        <f>IF(B17&lt;=C17,"Cumple","No cumple")</f>
        <v>Cumple</v>
      </c>
      <c r="E17" s="8" t="s">
        <v>21</v>
      </c>
    </row>
    <row r="19" spans="1:5" x14ac:dyDescent="0.25">
      <c r="A19" s="3" t="s">
        <v>22</v>
      </c>
      <c r="B19" s="3" t="s">
        <v>23</v>
      </c>
      <c r="C19" s="3" t="s">
        <v>24</v>
      </c>
      <c r="D19" s="3" t="s">
        <v>25</v>
      </c>
    </row>
    <row r="20" spans="1:5" x14ac:dyDescent="0.25">
      <c r="A20" s="4" t="s">
        <v>26</v>
      </c>
      <c r="B20" s="5">
        <f>COUNTIF(Defectos!$D$4:$D$40,"Crítica")</f>
        <v>0</v>
      </c>
      <c r="C20" s="5">
        <f>B20-D20</f>
        <v>0</v>
      </c>
      <c r="D20" s="5">
        <f>COUNTIFS(Defectos!$D$4:$D$40,"Crítica",Defectos!$F$4:$F$40,"Cerrado")</f>
        <v>0</v>
      </c>
    </row>
    <row r="21" spans="1:5" x14ac:dyDescent="0.25">
      <c r="A21" s="4" t="s">
        <v>27</v>
      </c>
      <c r="B21" s="5">
        <f>COUNTIF(Defectos!$D$4:$D$40,"Alta")</f>
        <v>1</v>
      </c>
      <c r="C21" s="5">
        <f>B21-D21</f>
        <v>1</v>
      </c>
      <c r="D21" s="5">
        <f>COUNTIFS(Defectos!$D$4:$D$40,"Alta",Defectos!$F$4:$F$40,"Cerrado")</f>
        <v>0</v>
      </c>
    </row>
    <row r="22" spans="1:5" x14ac:dyDescent="0.25">
      <c r="A22" s="4" t="s">
        <v>28</v>
      </c>
      <c r="B22" s="5">
        <f>COUNTIF(Defectos!$D$4:$D$40,"Media")</f>
        <v>3</v>
      </c>
      <c r="C22" s="5">
        <f>B22-D22</f>
        <v>3</v>
      </c>
      <c r="D22" s="5">
        <f>COUNTIFS(Defectos!$D$4:$D$40,"Media",Defectos!$F$4:$F$40,"Cerrado")</f>
        <v>0</v>
      </c>
    </row>
    <row r="23" spans="1:5" x14ac:dyDescent="0.25">
      <c r="A23" s="4" t="s">
        <v>29</v>
      </c>
      <c r="B23" s="5">
        <f>COUNTIF(Defectos!$D$4:$D$40,"Baja")</f>
        <v>2</v>
      </c>
      <c r="C23" s="5">
        <f>B23-D23</f>
        <v>2</v>
      </c>
      <c r="D23" s="5">
        <f>COUNTIFS(Defectos!$D$4:$D$40,"Baja",Defectos!$F$4:$F$40,"Cerrado")</f>
        <v>0</v>
      </c>
    </row>
    <row r="24" spans="1:5" x14ac:dyDescent="0.25">
      <c r="A24" s="14" t="s">
        <v>23</v>
      </c>
      <c r="B24" s="15">
        <f>SUM(B20:B23)</f>
        <v>6</v>
      </c>
      <c r="C24" s="15">
        <f>SUM(C20:C23)</f>
        <v>6</v>
      </c>
      <c r="D24" s="15">
        <f>SUM(D20:D23)</f>
        <v>0</v>
      </c>
    </row>
    <row r="26" spans="1:5" x14ac:dyDescent="0.25">
      <c r="A26" s="24" t="s">
        <v>30</v>
      </c>
      <c r="B26" s="22"/>
      <c r="C26" s="22"/>
      <c r="D26" s="22"/>
      <c r="E26" s="23"/>
    </row>
    <row r="27" spans="1:5" ht="44.1" customHeight="1" x14ac:dyDescent="0.25">
      <c r="A27" s="21" t="str">
        <f>"Se ejecutaron "&amp;B6&amp;" de "&amp;B5&amp;" casos de prueba ("&amp;TEXT(B10,"0%")&amp;"): "&amp;B7&amp;" aprobados y "&amp;B8&amp;" fallidos, para una tasa de aprobación de "&amp;TEXT(B11,"0%")&amp;"."</f>
        <v>Se ejecutaron 50 de 62 casos de prueba (81%): 45 aprobados y 5 fallidos, para una tasa de aprobación de 90%.</v>
      </c>
      <c r="B27" s="22"/>
      <c r="C27" s="22"/>
      <c r="D27" s="22"/>
      <c r="E27" s="23"/>
    </row>
    <row r="28" spans="1:5" ht="44.1" customHeight="1" x14ac:dyDescent="0.25">
      <c r="A28" s="21" t="str">
        <f>"Casos funcionales: "&amp;TEXT(B14,"0%")&amp;" aprobados frente a una meta de 90 % ("&amp;D14&amp;"). Integridad: "&amp;TEXT(B15,"0%")&amp;" de alteraciones detectadas con "&amp;B16&amp;" falsos positivos ("&amp;D15&amp;"). Latencia P95: "&amp;B17&amp;" ms frente a 3000 ms ("&amp;D17&amp;")."</f>
        <v>Casos funcionales: 78% aprobados frente a una meta de 90 % (No cumple). Integridad: 100% de alteraciones detectadas con 0 falsos positivos (Cumple). Latencia P95: 2040 ms frente a 3000 ms (Cumple).</v>
      </c>
      <c r="B28" s="22"/>
      <c r="C28" s="22"/>
      <c r="D28" s="22"/>
      <c r="E28" s="23"/>
    </row>
    <row r="29" spans="1:5" ht="44.1" customHeight="1" x14ac:dyDescent="0.25">
      <c r="A29" s="21" t="str">
        <f>"Se registraron "&amp;B24&amp;" defectos (críticos: "&amp;B20&amp;", altos: "&amp;B21&amp;", medios: "&amp;B22&amp;", bajos: "&amp;B23&amp;"); "&amp;C24&amp;" siguen abiertos. Ninguno impide registrar ni verificar documentos."</f>
        <v>Se registraron 6 defectos (críticos: 0, altos: 1, medios: 3, bajos: 2); 6 siguen abiertos. Ninguno impide registrar ni verificar documentos.</v>
      </c>
      <c r="B29" s="22"/>
      <c r="C29" s="22"/>
      <c r="D29" s="22"/>
      <c r="E29" s="23"/>
    </row>
    <row r="30" spans="1:5" ht="44.1" customHeight="1" x14ac:dyDescent="0.25">
      <c r="A30" s="21" t="str">
        <f>_xlfn._LONGTEXT("Los fallos se deben a dos requisitos aún sin implementar (aceptación de la política de datos y registro de intentos fallidos) y a un control de acceso de la API que deja ver datos de documentos ajenos. Las correcciones se priorizan por severidad y se vuel","ven a probar con regresión.")</f>
        <v>Los fallos se deben a dos requisitos aún sin implementar (aceptación de la política de datos y registro de intentos fallidos) y a un control de acceso de la API que deja ver datos de documentos ajenos. Las correcciones se priorizan por severidad y se vuelven a probar con regresión.</v>
      </c>
      <c r="B30" s="22"/>
      <c r="C30" s="22"/>
      <c r="D30" s="22"/>
      <c r="E30" s="23"/>
    </row>
  </sheetData>
  <mergeCells count="5">
    <mergeCell ref="A30:E30"/>
    <mergeCell ref="A29:E29"/>
    <mergeCell ref="A26:E26"/>
    <mergeCell ref="A28:E28"/>
    <mergeCell ref="A27:E27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8"/>
  <sheetViews>
    <sheetView showGridLines="0" workbookViewId="0"/>
  </sheetViews>
  <sheetFormatPr baseColWidth="10" defaultColWidth="9.140625" defaultRowHeight="15" x14ac:dyDescent="0.25"/>
  <cols>
    <col min="1" max="1" width="46" customWidth="1"/>
    <col min="2" max="4" width="10" customWidth="1"/>
    <col min="5" max="5" width="13" customWidth="1"/>
    <col min="6" max="6" width="20" customWidth="1"/>
  </cols>
  <sheetData>
    <row r="1" spans="1:6" ht="15.75" x14ac:dyDescent="0.25">
      <c r="A1" s="16" t="s">
        <v>31</v>
      </c>
    </row>
    <row r="3" spans="1:6" ht="25.5" x14ac:dyDescent="0.25">
      <c r="A3" s="3" t="s">
        <v>32</v>
      </c>
      <c r="B3" s="3" t="s">
        <v>33</v>
      </c>
      <c r="C3" s="3" t="s">
        <v>34</v>
      </c>
      <c r="D3" s="3" t="s">
        <v>35</v>
      </c>
      <c r="E3" s="3" t="s">
        <v>7</v>
      </c>
      <c r="F3" s="3" t="s">
        <v>36</v>
      </c>
    </row>
    <row r="4" spans="1:6" x14ac:dyDescent="0.25">
      <c r="A4" s="4" t="s">
        <v>37</v>
      </c>
      <c r="B4" s="5">
        <f>COUNTIF(Datos!$C$5:$C$66,A4)</f>
        <v>15</v>
      </c>
      <c r="C4" s="5">
        <f>COUNTIFS(Datos!$C$5:$C$66,A4,Datos!$G$5:$G$66,"PASS")</f>
        <v>10</v>
      </c>
      <c r="D4" s="5">
        <f>COUNTIFS(Datos!$C$5:$C$66,A4,Datos!$G$5:$G$66,"FAIL")</f>
        <v>4</v>
      </c>
      <c r="E4" s="5">
        <f t="shared" ref="E4:E9" si="0">B4-C4-D4</f>
        <v>1</v>
      </c>
      <c r="F4" s="10">
        <f t="shared" ref="F4:F10" si="1">IF(C4+D4=0,0,C4/(C4+D4))</f>
        <v>0.7142857142857143</v>
      </c>
    </row>
    <row r="5" spans="1:6" x14ac:dyDescent="0.25">
      <c r="A5" s="4" t="s">
        <v>38</v>
      </c>
      <c r="B5" s="5">
        <f>COUNTIF(Datos!$C$5:$C$66,A5)</f>
        <v>10</v>
      </c>
      <c r="C5" s="5">
        <f>COUNTIFS(Datos!$C$5:$C$66,A5,Datos!$G$5:$G$66,"PASS")</f>
        <v>9</v>
      </c>
      <c r="D5" s="5">
        <f>COUNTIFS(Datos!$C$5:$C$66,A5,Datos!$G$5:$G$66,"FAIL")</f>
        <v>0</v>
      </c>
      <c r="E5" s="5">
        <f t="shared" si="0"/>
        <v>1</v>
      </c>
      <c r="F5" s="10">
        <f t="shared" si="1"/>
        <v>1</v>
      </c>
    </row>
    <row r="6" spans="1:6" ht="25.5" x14ac:dyDescent="0.25">
      <c r="A6" s="4" t="s">
        <v>39</v>
      </c>
      <c r="B6" s="5">
        <f>COUNTIF(Datos!$C$5:$C$66,A6)</f>
        <v>14</v>
      </c>
      <c r="C6" s="5">
        <f>COUNTIFS(Datos!$C$5:$C$66,A6,Datos!$G$5:$G$66,"PASS")</f>
        <v>12</v>
      </c>
      <c r="D6" s="5">
        <f>COUNTIFS(Datos!$C$5:$C$66,A6,Datos!$G$5:$G$66,"FAIL")</f>
        <v>1</v>
      </c>
      <c r="E6" s="5">
        <f t="shared" si="0"/>
        <v>1</v>
      </c>
      <c r="F6" s="10">
        <f t="shared" si="1"/>
        <v>0.92307692307692313</v>
      </c>
    </row>
    <row r="7" spans="1:6" x14ac:dyDescent="0.25">
      <c r="A7" s="4" t="s">
        <v>40</v>
      </c>
      <c r="B7" s="5">
        <f>COUNTIF(Datos!$C$5:$C$66,A7)</f>
        <v>10</v>
      </c>
      <c r="C7" s="5">
        <f>COUNTIFS(Datos!$C$5:$C$66,A7,Datos!$G$5:$G$66,"PASS")</f>
        <v>7</v>
      </c>
      <c r="D7" s="5">
        <f>COUNTIFS(Datos!$C$5:$C$66,A7,Datos!$G$5:$G$66,"FAIL")</f>
        <v>0</v>
      </c>
      <c r="E7" s="5">
        <f t="shared" si="0"/>
        <v>3</v>
      </c>
      <c r="F7" s="10">
        <f t="shared" si="1"/>
        <v>1</v>
      </c>
    </row>
    <row r="8" spans="1:6" x14ac:dyDescent="0.25">
      <c r="A8" s="4" t="s">
        <v>41</v>
      </c>
      <c r="B8" s="5">
        <f>COUNTIF(Datos!$C$5:$C$66,A8)</f>
        <v>2</v>
      </c>
      <c r="C8" s="5">
        <f>COUNTIFS(Datos!$C$5:$C$66,A8,Datos!$G$5:$G$66,"PASS")</f>
        <v>2</v>
      </c>
      <c r="D8" s="5">
        <f>COUNTIFS(Datos!$C$5:$C$66,A8,Datos!$G$5:$G$66,"FAIL")</f>
        <v>0</v>
      </c>
      <c r="E8" s="5">
        <f t="shared" si="0"/>
        <v>0</v>
      </c>
      <c r="F8" s="10">
        <f t="shared" si="1"/>
        <v>1</v>
      </c>
    </row>
    <row r="9" spans="1:6" x14ac:dyDescent="0.25">
      <c r="A9" s="4" t="s">
        <v>42</v>
      </c>
      <c r="B9" s="5">
        <f>COUNTIF(Datos!$C$5:$C$66,A9)</f>
        <v>11</v>
      </c>
      <c r="C9" s="5">
        <f>COUNTIFS(Datos!$C$5:$C$66,A9,Datos!$G$5:$G$66,"PASS")</f>
        <v>5</v>
      </c>
      <c r="D9" s="5">
        <f>COUNTIFS(Datos!$C$5:$C$66,A9,Datos!$G$5:$G$66,"FAIL")</f>
        <v>0</v>
      </c>
      <c r="E9" s="5">
        <f t="shared" si="0"/>
        <v>6</v>
      </c>
      <c r="F9" s="10">
        <f t="shared" si="1"/>
        <v>1</v>
      </c>
    </row>
    <row r="10" spans="1:6" x14ac:dyDescent="0.25">
      <c r="A10" s="14" t="s">
        <v>23</v>
      </c>
      <c r="B10" s="15">
        <f>SUM(B4:B9)</f>
        <v>62</v>
      </c>
      <c r="C10" s="15">
        <f>SUM(C4:C9)</f>
        <v>45</v>
      </c>
      <c r="D10" s="15">
        <f>SUM(D4:D9)</f>
        <v>5</v>
      </c>
      <c r="E10" s="15">
        <f>SUM(E4:E9)</f>
        <v>12</v>
      </c>
      <c r="F10" s="17">
        <f t="shared" si="1"/>
        <v>0.9</v>
      </c>
    </row>
    <row r="12" spans="1:6" x14ac:dyDescent="0.25">
      <c r="A12" s="18" t="s">
        <v>43</v>
      </c>
    </row>
    <row r="13" spans="1:6" x14ac:dyDescent="0.25">
      <c r="A13" s="3" t="s">
        <v>44</v>
      </c>
      <c r="B13" s="25" t="s">
        <v>45</v>
      </c>
      <c r="C13" s="22"/>
      <c r="D13" s="22"/>
      <c r="E13" s="23"/>
      <c r="F13" s="3" t="s">
        <v>46</v>
      </c>
    </row>
    <row r="14" spans="1:6" x14ac:dyDescent="0.25">
      <c r="A14" s="4" t="s">
        <v>47</v>
      </c>
      <c r="B14" s="21" t="s">
        <v>48</v>
      </c>
      <c r="C14" s="22"/>
      <c r="D14" s="22"/>
      <c r="E14" s="23"/>
      <c r="F14" s="5" t="s">
        <v>49</v>
      </c>
    </row>
    <row r="15" spans="1:6" x14ac:dyDescent="0.25">
      <c r="A15" s="4" t="s">
        <v>50</v>
      </c>
      <c r="B15" s="21" t="s">
        <v>51</v>
      </c>
      <c r="C15" s="22"/>
      <c r="D15" s="22"/>
      <c r="E15" s="23"/>
      <c r="F15" s="5" t="s">
        <v>52</v>
      </c>
    </row>
    <row r="16" spans="1:6" x14ac:dyDescent="0.25">
      <c r="A16" s="4" t="s">
        <v>53</v>
      </c>
      <c r="B16" s="21" t="s">
        <v>54</v>
      </c>
      <c r="C16" s="22"/>
      <c r="D16" s="22"/>
      <c r="E16" s="23"/>
      <c r="F16" s="5" t="s">
        <v>52</v>
      </c>
    </row>
    <row r="17" spans="1:6" x14ac:dyDescent="0.25">
      <c r="A17" s="4" t="s">
        <v>55</v>
      </c>
      <c r="B17" s="21" t="s">
        <v>56</v>
      </c>
      <c r="C17" s="22"/>
      <c r="D17" s="22"/>
      <c r="E17" s="23"/>
      <c r="F17" s="5" t="s">
        <v>52</v>
      </c>
    </row>
    <row r="18" spans="1:6" x14ac:dyDescent="0.25">
      <c r="A18" s="4" t="s">
        <v>57</v>
      </c>
      <c r="B18" s="21" t="s">
        <v>58</v>
      </c>
      <c r="C18" s="22"/>
      <c r="D18" s="22"/>
      <c r="E18" s="23"/>
      <c r="F18" s="5" t="s">
        <v>59</v>
      </c>
    </row>
  </sheetData>
  <mergeCells count="6">
    <mergeCell ref="B17:E17"/>
    <mergeCell ref="B18:E18"/>
    <mergeCell ref="B13:E13"/>
    <mergeCell ref="B16:E16"/>
    <mergeCell ref="B15:E15"/>
    <mergeCell ref="B14:E14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9"/>
  <sheetViews>
    <sheetView showGridLines="0" workbookViewId="0"/>
  </sheetViews>
  <sheetFormatPr baseColWidth="10" defaultColWidth="9.140625" defaultRowHeight="15" x14ac:dyDescent="0.25"/>
  <cols>
    <col min="1" max="1" width="9" customWidth="1"/>
    <col min="2" max="2" width="48" customWidth="1"/>
    <col min="3" max="3" width="13" customWidth="1"/>
    <col min="4" max="4" width="11" customWidth="1"/>
    <col min="5" max="6" width="12" customWidth="1"/>
    <col min="7" max="7" width="48" customWidth="1"/>
    <col min="8" max="8" width="22" customWidth="1"/>
  </cols>
  <sheetData>
    <row r="1" spans="1:8" ht="15.75" x14ac:dyDescent="0.25">
      <c r="A1" s="16" t="s">
        <v>60</v>
      </c>
    </row>
    <row r="3" spans="1:8" x14ac:dyDescent="0.25">
      <c r="A3" s="3" t="s">
        <v>61</v>
      </c>
      <c r="B3" s="3" t="s">
        <v>46</v>
      </c>
      <c r="C3" s="3" t="s">
        <v>44</v>
      </c>
      <c r="D3" s="3" t="s">
        <v>62</v>
      </c>
      <c r="E3" s="3" t="s">
        <v>63</v>
      </c>
      <c r="F3" s="3" t="s">
        <v>13</v>
      </c>
      <c r="G3" s="3" t="s">
        <v>64</v>
      </c>
      <c r="H3" s="3" t="s">
        <v>65</v>
      </c>
    </row>
    <row r="4" spans="1:8" ht="32.1" customHeight="1" x14ac:dyDescent="0.25">
      <c r="A4" s="5" t="s">
        <v>66</v>
      </c>
      <c r="B4" s="4" t="s">
        <v>67</v>
      </c>
      <c r="C4" s="5" t="s">
        <v>68</v>
      </c>
      <c r="D4" s="5" t="s">
        <v>29</v>
      </c>
      <c r="E4" s="5" t="s">
        <v>69</v>
      </c>
      <c r="F4" s="11" t="s">
        <v>70</v>
      </c>
      <c r="G4" s="4" t="s">
        <v>71</v>
      </c>
      <c r="H4" s="4" t="s">
        <v>72</v>
      </c>
    </row>
    <row r="5" spans="1:8" ht="32.1" customHeight="1" x14ac:dyDescent="0.25">
      <c r="A5" s="5" t="s">
        <v>73</v>
      </c>
      <c r="B5" s="4" t="s">
        <v>74</v>
      </c>
      <c r="C5" s="5" t="s">
        <v>75</v>
      </c>
      <c r="D5" s="5" t="s">
        <v>28</v>
      </c>
      <c r="E5" s="5" t="s">
        <v>76</v>
      </c>
      <c r="F5" s="11" t="s">
        <v>70</v>
      </c>
      <c r="G5" s="4" t="s">
        <v>77</v>
      </c>
      <c r="H5" s="4" t="s">
        <v>72</v>
      </c>
    </row>
    <row r="6" spans="1:8" ht="32.1" customHeight="1" x14ac:dyDescent="0.25">
      <c r="A6" s="5" t="s">
        <v>49</v>
      </c>
      <c r="B6" s="4" t="s">
        <v>78</v>
      </c>
      <c r="C6" s="5" t="s">
        <v>47</v>
      </c>
      <c r="D6" s="5" t="s">
        <v>28</v>
      </c>
      <c r="E6" s="5" t="s">
        <v>76</v>
      </c>
      <c r="F6" s="11" t="s">
        <v>70</v>
      </c>
      <c r="G6" s="4" t="s">
        <v>79</v>
      </c>
      <c r="H6" s="4" t="s">
        <v>80</v>
      </c>
    </row>
    <row r="7" spans="1:8" ht="32.1" customHeight="1" x14ac:dyDescent="0.25">
      <c r="A7" s="5" t="s">
        <v>52</v>
      </c>
      <c r="B7" s="4" t="s">
        <v>81</v>
      </c>
      <c r="C7" s="5" t="s">
        <v>82</v>
      </c>
      <c r="D7" s="5" t="s">
        <v>27</v>
      </c>
      <c r="E7" s="5" t="s">
        <v>83</v>
      </c>
      <c r="F7" s="11" t="s">
        <v>70</v>
      </c>
      <c r="G7" s="4" t="s">
        <v>84</v>
      </c>
      <c r="H7" s="4" t="s">
        <v>85</v>
      </c>
    </row>
    <row r="8" spans="1:8" ht="32.1" customHeight="1" x14ac:dyDescent="0.25">
      <c r="A8" s="5" t="s">
        <v>86</v>
      </c>
      <c r="B8" s="4" t="s">
        <v>87</v>
      </c>
      <c r="C8" s="5" t="s">
        <v>88</v>
      </c>
      <c r="D8" s="5" t="s">
        <v>29</v>
      </c>
      <c r="E8" s="5" t="s">
        <v>89</v>
      </c>
      <c r="F8" s="11" t="s">
        <v>70</v>
      </c>
      <c r="G8" s="4" t="s">
        <v>90</v>
      </c>
      <c r="H8" s="4" t="s">
        <v>72</v>
      </c>
    </row>
    <row r="9" spans="1:8" ht="32.1" customHeight="1" x14ac:dyDescent="0.25">
      <c r="A9" s="5" t="s">
        <v>59</v>
      </c>
      <c r="B9" s="4" t="s">
        <v>91</v>
      </c>
      <c r="C9" s="5" t="s">
        <v>57</v>
      </c>
      <c r="D9" s="5" t="s">
        <v>28</v>
      </c>
      <c r="E9" s="5" t="s">
        <v>76</v>
      </c>
      <c r="F9" s="11" t="s">
        <v>70</v>
      </c>
      <c r="G9" s="4" t="s">
        <v>92</v>
      </c>
      <c r="H9" s="4" t="s">
        <v>80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66"/>
  <sheetViews>
    <sheetView showGridLines="0" workbookViewId="0"/>
  </sheetViews>
  <sheetFormatPr baseColWidth="10" defaultColWidth="9.140625" defaultRowHeight="15" x14ac:dyDescent="0.25"/>
  <cols>
    <col min="1" max="1" width="9" customWidth="1"/>
    <col min="2" max="2" width="13" customWidth="1"/>
    <col min="3" max="3" width="44" customWidth="1"/>
    <col min="4" max="4" width="48" customWidth="1"/>
    <col min="5" max="6" width="14" customWidth="1"/>
    <col min="7" max="7" width="16" customWidth="1"/>
  </cols>
  <sheetData>
    <row r="1" spans="1:7" ht="126" x14ac:dyDescent="0.25">
      <c r="A1" s="19" t="s">
        <v>93</v>
      </c>
    </row>
    <row r="2" spans="1:7" x14ac:dyDescent="0.25">
      <c r="A2" s="2" t="s">
        <v>94</v>
      </c>
    </row>
    <row r="4" spans="1:7" x14ac:dyDescent="0.25">
      <c r="A4" s="3" t="s">
        <v>61</v>
      </c>
      <c r="B4" s="3" t="s">
        <v>95</v>
      </c>
      <c r="C4" s="3" t="s">
        <v>96</v>
      </c>
      <c r="D4" s="3" t="s">
        <v>44</v>
      </c>
      <c r="E4" s="3" t="s">
        <v>97</v>
      </c>
      <c r="F4" s="3" t="s">
        <v>98</v>
      </c>
      <c r="G4" s="3" t="s">
        <v>99</v>
      </c>
    </row>
    <row r="5" spans="1:7" x14ac:dyDescent="0.25">
      <c r="A5" s="4" t="s">
        <v>100</v>
      </c>
      <c r="B5" s="4" t="s">
        <v>101</v>
      </c>
      <c r="C5" s="4" t="s">
        <v>37</v>
      </c>
      <c r="D5" s="4" t="s">
        <v>102</v>
      </c>
      <c r="E5" s="4" t="s">
        <v>34</v>
      </c>
      <c r="F5" s="20" t="s">
        <v>103</v>
      </c>
      <c r="G5" s="4" t="str">
        <f t="shared" ref="G5:G36" si="0">IF(F5="No ejecutado",E5,F5)</f>
        <v>PASS</v>
      </c>
    </row>
    <row r="6" spans="1:7" x14ac:dyDescent="0.25">
      <c r="A6" s="4" t="s">
        <v>104</v>
      </c>
      <c r="B6" s="4" t="s">
        <v>101</v>
      </c>
      <c r="C6" s="4" t="s">
        <v>37</v>
      </c>
      <c r="D6" s="4" t="s">
        <v>105</v>
      </c>
      <c r="E6" s="4" t="s">
        <v>34</v>
      </c>
      <c r="F6" s="20" t="s">
        <v>103</v>
      </c>
      <c r="G6" s="4" t="str">
        <f t="shared" si="0"/>
        <v>PASS</v>
      </c>
    </row>
    <row r="7" spans="1:7" x14ac:dyDescent="0.25">
      <c r="A7" s="4" t="s">
        <v>75</v>
      </c>
      <c r="B7" s="4" t="s">
        <v>101</v>
      </c>
      <c r="C7" s="4" t="s">
        <v>37</v>
      </c>
      <c r="D7" s="4" t="s">
        <v>106</v>
      </c>
      <c r="E7" s="4" t="s">
        <v>34</v>
      </c>
      <c r="F7" s="20" t="s">
        <v>103</v>
      </c>
      <c r="G7" s="4" t="str">
        <f t="shared" si="0"/>
        <v>PASS</v>
      </c>
    </row>
    <row r="8" spans="1:7" x14ac:dyDescent="0.25">
      <c r="A8" s="4" t="s">
        <v>107</v>
      </c>
      <c r="B8" s="4" t="s">
        <v>101</v>
      </c>
      <c r="C8" s="4" t="s">
        <v>37</v>
      </c>
      <c r="D8" s="4" t="s">
        <v>108</v>
      </c>
      <c r="E8" s="4" t="s">
        <v>103</v>
      </c>
      <c r="F8" s="20" t="s">
        <v>103</v>
      </c>
      <c r="G8" s="4" t="str">
        <f t="shared" si="0"/>
        <v>No ejecutado</v>
      </c>
    </row>
    <row r="9" spans="1:7" x14ac:dyDescent="0.25">
      <c r="A9" s="4" t="s">
        <v>109</v>
      </c>
      <c r="B9" s="4" t="s">
        <v>101</v>
      </c>
      <c r="C9" s="4" t="s">
        <v>37</v>
      </c>
      <c r="D9" s="4" t="s">
        <v>110</v>
      </c>
      <c r="E9" s="4" t="s">
        <v>34</v>
      </c>
      <c r="F9" s="20" t="s">
        <v>103</v>
      </c>
      <c r="G9" s="4" t="str">
        <f t="shared" si="0"/>
        <v>PASS</v>
      </c>
    </row>
    <row r="10" spans="1:7" x14ac:dyDescent="0.25">
      <c r="A10" s="4" t="s">
        <v>111</v>
      </c>
      <c r="B10" s="4" t="s">
        <v>101</v>
      </c>
      <c r="C10" s="4" t="s">
        <v>37</v>
      </c>
      <c r="D10" s="4" t="s">
        <v>112</v>
      </c>
      <c r="E10" s="4" t="s">
        <v>34</v>
      </c>
      <c r="F10" s="20" t="s">
        <v>103</v>
      </c>
      <c r="G10" s="4" t="str">
        <f t="shared" si="0"/>
        <v>PASS</v>
      </c>
    </row>
    <row r="11" spans="1:7" x14ac:dyDescent="0.25">
      <c r="A11" s="4" t="s">
        <v>113</v>
      </c>
      <c r="B11" s="4" t="s">
        <v>101</v>
      </c>
      <c r="C11" s="4" t="s">
        <v>37</v>
      </c>
      <c r="D11" s="4" t="s">
        <v>114</v>
      </c>
      <c r="E11" s="4" t="s">
        <v>34</v>
      </c>
      <c r="F11" s="20" t="s">
        <v>103</v>
      </c>
      <c r="G11" s="4" t="str">
        <f t="shared" si="0"/>
        <v>PASS</v>
      </c>
    </row>
    <row r="12" spans="1:7" x14ac:dyDescent="0.25">
      <c r="A12" s="4" t="s">
        <v>115</v>
      </c>
      <c r="B12" s="4" t="s">
        <v>101</v>
      </c>
      <c r="C12" s="4" t="s">
        <v>37</v>
      </c>
      <c r="D12" s="4" t="s">
        <v>116</v>
      </c>
      <c r="E12" s="4" t="s">
        <v>34</v>
      </c>
      <c r="F12" s="20" t="s">
        <v>103</v>
      </c>
      <c r="G12" s="4" t="str">
        <f t="shared" si="0"/>
        <v>PASS</v>
      </c>
    </row>
    <row r="13" spans="1:7" x14ac:dyDescent="0.25">
      <c r="A13" s="4" t="s">
        <v>117</v>
      </c>
      <c r="B13" s="4" t="s">
        <v>101</v>
      </c>
      <c r="C13" s="4" t="s">
        <v>37</v>
      </c>
      <c r="D13" s="4" t="s">
        <v>118</v>
      </c>
      <c r="E13" s="4" t="s">
        <v>34</v>
      </c>
      <c r="F13" s="20" t="s">
        <v>103</v>
      </c>
      <c r="G13" s="4" t="str">
        <f t="shared" si="0"/>
        <v>PASS</v>
      </c>
    </row>
    <row r="14" spans="1:7" x14ac:dyDescent="0.25">
      <c r="A14" s="4" t="s">
        <v>119</v>
      </c>
      <c r="B14" s="4" t="s">
        <v>101</v>
      </c>
      <c r="C14" s="4" t="s">
        <v>37</v>
      </c>
      <c r="D14" s="4" t="s">
        <v>120</v>
      </c>
      <c r="E14" s="4" t="s">
        <v>34</v>
      </c>
      <c r="F14" s="20" t="s">
        <v>103</v>
      </c>
      <c r="G14" s="4" t="str">
        <f t="shared" si="0"/>
        <v>PASS</v>
      </c>
    </row>
    <row r="15" spans="1:7" x14ac:dyDescent="0.25">
      <c r="A15" s="4" t="s">
        <v>47</v>
      </c>
      <c r="B15" s="4" t="s">
        <v>101</v>
      </c>
      <c r="C15" s="4" t="s">
        <v>37</v>
      </c>
      <c r="D15" s="4" t="s">
        <v>48</v>
      </c>
      <c r="E15" s="4" t="s">
        <v>35</v>
      </c>
      <c r="F15" s="20" t="s">
        <v>103</v>
      </c>
      <c r="G15" s="4" t="str">
        <f t="shared" si="0"/>
        <v>FAIL</v>
      </c>
    </row>
    <row r="16" spans="1:7" x14ac:dyDescent="0.25">
      <c r="A16" s="4" t="s">
        <v>121</v>
      </c>
      <c r="B16" s="4" t="s">
        <v>101</v>
      </c>
      <c r="C16" s="4" t="s">
        <v>37</v>
      </c>
      <c r="D16" s="4" t="s">
        <v>122</v>
      </c>
      <c r="E16" s="4" t="s">
        <v>34</v>
      </c>
      <c r="F16" s="20" t="s">
        <v>103</v>
      </c>
      <c r="G16" s="4" t="str">
        <f t="shared" si="0"/>
        <v>PASS</v>
      </c>
    </row>
    <row r="17" spans="1:7" x14ac:dyDescent="0.25">
      <c r="A17" s="4" t="s">
        <v>50</v>
      </c>
      <c r="B17" s="4" t="s">
        <v>101</v>
      </c>
      <c r="C17" s="4" t="s">
        <v>37</v>
      </c>
      <c r="D17" s="4" t="s">
        <v>51</v>
      </c>
      <c r="E17" s="4" t="s">
        <v>35</v>
      </c>
      <c r="F17" s="20" t="s">
        <v>103</v>
      </c>
      <c r="G17" s="4" t="str">
        <f t="shared" si="0"/>
        <v>FAIL</v>
      </c>
    </row>
    <row r="18" spans="1:7" x14ac:dyDescent="0.25">
      <c r="A18" s="4" t="s">
        <v>53</v>
      </c>
      <c r="B18" s="4" t="s">
        <v>101</v>
      </c>
      <c r="C18" s="4" t="s">
        <v>37</v>
      </c>
      <c r="D18" s="4" t="s">
        <v>54</v>
      </c>
      <c r="E18" s="4" t="s">
        <v>35</v>
      </c>
      <c r="F18" s="20" t="s">
        <v>103</v>
      </c>
      <c r="G18" s="4" t="str">
        <f t="shared" si="0"/>
        <v>FAIL</v>
      </c>
    </row>
    <row r="19" spans="1:7" x14ac:dyDescent="0.25">
      <c r="A19" s="4" t="s">
        <v>55</v>
      </c>
      <c r="B19" s="4" t="s">
        <v>101</v>
      </c>
      <c r="C19" s="4" t="s">
        <v>37</v>
      </c>
      <c r="D19" s="4" t="s">
        <v>56</v>
      </c>
      <c r="E19" s="4" t="s">
        <v>35</v>
      </c>
      <c r="F19" s="20" t="s">
        <v>103</v>
      </c>
      <c r="G19" s="4" t="str">
        <f t="shared" si="0"/>
        <v>FAIL</v>
      </c>
    </row>
    <row r="20" spans="1:7" x14ac:dyDescent="0.25">
      <c r="A20" s="4" t="s">
        <v>123</v>
      </c>
      <c r="B20" s="4" t="s">
        <v>101</v>
      </c>
      <c r="C20" s="4" t="s">
        <v>38</v>
      </c>
      <c r="D20" s="4" t="s">
        <v>124</v>
      </c>
      <c r="E20" s="4" t="s">
        <v>103</v>
      </c>
      <c r="F20" s="20" t="s">
        <v>103</v>
      </c>
      <c r="G20" s="4" t="str">
        <f t="shared" si="0"/>
        <v>No ejecutado</v>
      </c>
    </row>
    <row r="21" spans="1:7" x14ac:dyDescent="0.25">
      <c r="A21" s="4" t="s">
        <v>125</v>
      </c>
      <c r="B21" s="4" t="s">
        <v>101</v>
      </c>
      <c r="C21" s="4" t="s">
        <v>38</v>
      </c>
      <c r="D21" s="4" t="s">
        <v>126</v>
      </c>
      <c r="E21" s="4" t="s">
        <v>34</v>
      </c>
      <c r="F21" s="20" t="s">
        <v>103</v>
      </c>
      <c r="G21" s="4" t="str">
        <f t="shared" si="0"/>
        <v>PASS</v>
      </c>
    </row>
    <row r="22" spans="1:7" x14ac:dyDescent="0.25">
      <c r="A22" s="4" t="s">
        <v>127</v>
      </c>
      <c r="B22" s="4" t="s">
        <v>101</v>
      </c>
      <c r="C22" s="4" t="s">
        <v>38</v>
      </c>
      <c r="D22" s="4" t="s">
        <v>128</v>
      </c>
      <c r="E22" s="4" t="s">
        <v>34</v>
      </c>
      <c r="F22" s="20" t="s">
        <v>103</v>
      </c>
      <c r="G22" s="4" t="str">
        <f t="shared" si="0"/>
        <v>PASS</v>
      </c>
    </row>
    <row r="23" spans="1:7" x14ac:dyDescent="0.25">
      <c r="A23" s="4" t="s">
        <v>129</v>
      </c>
      <c r="B23" s="4" t="s">
        <v>101</v>
      </c>
      <c r="C23" s="4" t="s">
        <v>38</v>
      </c>
      <c r="D23" s="4" t="s">
        <v>130</v>
      </c>
      <c r="E23" s="4" t="s">
        <v>34</v>
      </c>
      <c r="F23" s="20" t="s">
        <v>103</v>
      </c>
      <c r="G23" s="4" t="str">
        <f t="shared" si="0"/>
        <v>PASS</v>
      </c>
    </row>
    <row r="24" spans="1:7" x14ac:dyDescent="0.25">
      <c r="A24" s="4" t="s">
        <v>131</v>
      </c>
      <c r="B24" s="4" t="s">
        <v>101</v>
      </c>
      <c r="C24" s="4" t="s">
        <v>38</v>
      </c>
      <c r="D24" s="4" t="s">
        <v>132</v>
      </c>
      <c r="E24" s="4" t="s">
        <v>34</v>
      </c>
      <c r="F24" s="20" t="s">
        <v>103</v>
      </c>
      <c r="G24" s="4" t="str">
        <f t="shared" si="0"/>
        <v>PASS</v>
      </c>
    </row>
    <row r="25" spans="1:7" x14ac:dyDescent="0.25">
      <c r="A25" s="4" t="s">
        <v>133</v>
      </c>
      <c r="B25" s="4" t="s">
        <v>101</v>
      </c>
      <c r="C25" s="4" t="s">
        <v>38</v>
      </c>
      <c r="D25" s="4" t="s">
        <v>134</v>
      </c>
      <c r="E25" s="4" t="s">
        <v>34</v>
      </c>
      <c r="F25" s="20" t="s">
        <v>103</v>
      </c>
      <c r="G25" s="4" t="str">
        <f t="shared" si="0"/>
        <v>PASS</v>
      </c>
    </row>
    <row r="26" spans="1:7" x14ac:dyDescent="0.25">
      <c r="A26" s="4" t="s">
        <v>88</v>
      </c>
      <c r="B26" s="4" t="s">
        <v>101</v>
      </c>
      <c r="C26" s="4" t="s">
        <v>38</v>
      </c>
      <c r="D26" s="4" t="s">
        <v>135</v>
      </c>
      <c r="E26" s="4" t="s">
        <v>34</v>
      </c>
      <c r="F26" s="20" t="s">
        <v>103</v>
      </c>
      <c r="G26" s="4" t="str">
        <f t="shared" si="0"/>
        <v>PASS</v>
      </c>
    </row>
    <row r="27" spans="1:7" x14ac:dyDescent="0.25">
      <c r="A27" s="4" t="s">
        <v>136</v>
      </c>
      <c r="B27" s="4" t="s">
        <v>101</v>
      </c>
      <c r="C27" s="4" t="s">
        <v>38</v>
      </c>
      <c r="D27" s="4" t="s">
        <v>137</v>
      </c>
      <c r="E27" s="4" t="s">
        <v>34</v>
      </c>
      <c r="F27" s="20" t="s">
        <v>103</v>
      </c>
      <c r="G27" s="4" t="str">
        <f t="shared" si="0"/>
        <v>PASS</v>
      </c>
    </row>
    <row r="28" spans="1:7" x14ac:dyDescent="0.25">
      <c r="A28" s="4" t="s">
        <v>138</v>
      </c>
      <c r="B28" s="4" t="s">
        <v>101</v>
      </c>
      <c r="C28" s="4" t="s">
        <v>38</v>
      </c>
      <c r="D28" s="4" t="s">
        <v>139</v>
      </c>
      <c r="E28" s="4" t="s">
        <v>34</v>
      </c>
      <c r="F28" s="20" t="s">
        <v>103</v>
      </c>
      <c r="G28" s="4" t="str">
        <f t="shared" si="0"/>
        <v>PASS</v>
      </c>
    </row>
    <row r="29" spans="1:7" x14ac:dyDescent="0.25">
      <c r="A29" s="4" t="s">
        <v>140</v>
      </c>
      <c r="B29" s="4" t="s">
        <v>101</v>
      </c>
      <c r="C29" s="4" t="s">
        <v>38</v>
      </c>
      <c r="D29" s="4" t="s">
        <v>141</v>
      </c>
      <c r="E29" s="4" t="s">
        <v>34</v>
      </c>
      <c r="F29" s="20" t="s">
        <v>103</v>
      </c>
      <c r="G29" s="4" t="str">
        <f t="shared" si="0"/>
        <v>PASS</v>
      </c>
    </row>
    <row r="30" spans="1:7" ht="25.5" x14ac:dyDescent="0.25">
      <c r="A30" s="4" t="s">
        <v>142</v>
      </c>
      <c r="B30" s="4" t="s">
        <v>101</v>
      </c>
      <c r="C30" s="4" t="s">
        <v>39</v>
      </c>
      <c r="D30" s="4" t="s">
        <v>143</v>
      </c>
      <c r="E30" s="4" t="s">
        <v>34</v>
      </c>
      <c r="F30" s="20" t="s">
        <v>103</v>
      </c>
      <c r="G30" s="4" t="str">
        <f t="shared" si="0"/>
        <v>PASS</v>
      </c>
    </row>
    <row r="31" spans="1:7" ht="25.5" x14ac:dyDescent="0.25">
      <c r="A31" s="4" t="s">
        <v>144</v>
      </c>
      <c r="B31" s="4" t="s">
        <v>101</v>
      </c>
      <c r="C31" s="4" t="s">
        <v>39</v>
      </c>
      <c r="D31" s="4" t="s">
        <v>145</v>
      </c>
      <c r="E31" s="4" t="s">
        <v>34</v>
      </c>
      <c r="F31" s="20" t="s">
        <v>103</v>
      </c>
      <c r="G31" s="4" t="str">
        <f t="shared" si="0"/>
        <v>PASS</v>
      </c>
    </row>
    <row r="32" spans="1:7" ht="25.5" x14ac:dyDescent="0.25">
      <c r="A32" s="4" t="s">
        <v>146</v>
      </c>
      <c r="B32" s="4" t="s">
        <v>101</v>
      </c>
      <c r="C32" s="4" t="s">
        <v>39</v>
      </c>
      <c r="D32" s="4" t="s">
        <v>147</v>
      </c>
      <c r="E32" s="4" t="s">
        <v>34</v>
      </c>
      <c r="F32" s="20" t="s">
        <v>103</v>
      </c>
      <c r="G32" s="4" t="str">
        <f t="shared" si="0"/>
        <v>PASS</v>
      </c>
    </row>
    <row r="33" spans="1:7" ht="25.5" x14ac:dyDescent="0.25">
      <c r="A33" s="4" t="s">
        <v>57</v>
      </c>
      <c r="B33" s="4" t="s">
        <v>101</v>
      </c>
      <c r="C33" s="4" t="s">
        <v>39</v>
      </c>
      <c r="D33" s="4" t="s">
        <v>58</v>
      </c>
      <c r="E33" s="4" t="s">
        <v>35</v>
      </c>
      <c r="F33" s="20" t="s">
        <v>103</v>
      </c>
      <c r="G33" s="4" t="str">
        <f t="shared" si="0"/>
        <v>FAIL</v>
      </c>
    </row>
    <row r="34" spans="1:7" ht="25.5" x14ac:dyDescent="0.25">
      <c r="A34" s="4" t="s">
        <v>148</v>
      </c>
      <c r="B34" s="4" t="s">
        <v>101</v>
      </c>
      <c r="C34" s="4" t="s">
        <v>39</v>
      </c>
      <c r="D34" s="4" t="s">
        <v>149</v>
      </c>
      <c r="E34" s="4" t="s">
        <v>34</v>
      </c>
      <c r="F34" s="20" t="s">
        <v>103</v>
      </c>
      <c r="G34" s="4" t="str">
        <f t="shared" si="0"/>
        <v>PASS</v>
      </c>
    </row>
    <row r="35" spans="1:7" ht="25.5" x14ac:dyDescent="0.25">
      <c r="A35" s="4" t="s">
        <v>150</v>
      </c>
      <c r="B35" s="4" t="s">
        <v>101</v>
      </c>
      <c r="C35" s="4" t="s">
        <v>39</v>
      </c>
      <c r="D35" s="4" t="s">
        <v>151</v>
      </c>
      <c r="E35" s="4" t="s">
        <v>103</v>
      </c>
      <c r="F35" s="20" t="s">
        <v>103</v>
      </c>
      <c r="G35" s="4" t="str">
        <f t="shared" si="0"/>
        <v>No ejecutado</v>
      </c>
    </row>
    <row r="36" spans="1:7" ht="25.5" x14ac:dyDescent="0.25">
      <c r="A36" s="4" t="s">
        <v>152</v>
      </c>
      <c r="B36" s="4" t="s">
        <v>101</v>
      </c>
      <c r="C36" s="4" t="s">
        <v>39</v>
      </c>
      <c r="D36" s="4" t="s">
        <v>153</v>
      </c>
      <c r="E36" s="4" t="s">
        <v>34</v>
      </c>
      <c r="F36" s="20" t="s">
        <v>103</v>
      </c>
      <c r="G36" s="4" t="str">
        <f t="shared" si="0"/>
        <v>PASS</v>
      </c>
    </row>
    <row r="37" spans="1:7" ht="25.5" x14ac:dyDescent="0.25">
      <c r="A37" s="4" t="s">
        <v>154</v>
      </c>
      <c r="B37" s="4" t="s">
        <v>101</v>
      </c>
      <c r="C37" s="4" t="s">
        <v>39</v>
      </c>
      <c r="D37" s="4" t="s">
        <v>155</v>
      </c>
      <c r="E37" s="4" t="s">
        <v>34</v>
      </c>
      <c r="F37" s="20" t="s">
        <v>103</v>
      </c>
      <c r="G37" s="4" t="str">
        <f t="shared" ref="G37:G68" si="1">IF(F37="No ejecutado",E37,F37)</f>
        <v>PASS</v>
      </c>
    </row>
    <row r="38" spans="1:7" ht="25.5" x14ac:dyDescent="0.25">
      <c r="A38" s="4" t="s">
        <v>156</v>
      </c>
      <c r="B38" s="4" t="s">
        <v>101</v>
      </c>
      <c r="C38" s="4" t="s">
        <v>39</v>
      </c>
      <c r="D38" s="4" t="s">
        <v>157</v>
      </c>
      <c r="E38" s="4" t="s">
        <v>34</v>
      </c>
      <c r="F38" s="20" t="s">
        <v>103</v>
      </c>
      <c r="G38" s="4" t="str">
        <f t="shared" si="1"/>
        <v>PASS</v>
      </c>
    </row>
    <row r="39" spans="1:7" ht="25.5" x14ac:dyDescent="0.25">
      <c r="A39" s="4" t="s">
        <v>68</v>
      </c>
      <c r="B39" s="4" t="s">
        <v>101</v>
      </c>
      <c r="C39" s="4" t="s">
        <v>39</v>
      </c>
      <c r="D39" s="4" t="s">
        <v>158</v>
      </c>
      <c r="E39" s="4" t="s">
        <v>34</v>
      </c>
      <c r="F39" s="20" t="s">
        <v>103</v>
      </c>
      <c r="G39" s="4" t="str">
        <f t="shared" si="1"/>
        <v>PASS</v>
      </c>
    </row>
    <row r="40" spans="1:7" ht="25.5" x14ac:dyDescent="0.25">
      <c r="A40" s="4" t="s">
        <v>159</v>
      </c>
      <c r="B40" s="4" t="s">
        <v>101</v>
      </c>
      <c r="C40" s="4" t="s">
        <v>39</v>
      </c>
      <c r="D40" s="4" t="s">
        <v>160</v>
      </c>
      <c r="E40" s="4" t="s">
        <v>34</v>
      </c>
      <c r="F40" s="20" t="s">
        <v>103</v>
      </c>
      <c r="G40" s="4" t="str">
        <f t="shared" si="1"/>
        <v>PASS</v>
      </c>
    </row>
    <row r="41" spans="1:7" ht="25.5" x14ac:dyDescent="0.25">
      <c r="A41" s="4" t="s">
        <v>161</v>
      </c>
      <c r="B41" s="4" t="s">
        <v>101</v>
      </c>
      <c r="C41" s="4" t="s">
        <v>39</v>
      </c>
      <c r="D41" s="4" t="s">
        <v>162</v>
      </c>
      <c r="E41" s="4" t="s">
        <v>34</v>
      </c>
      <c r="F41" s="20" t="s">
        <v>103</v>
      </c>
      <c r="G41" s="4" t="str">
        <f t="shared" si="1"/>
        <v>PASS</v>
      </c>
    </row>
    <row r="42" spans="1:7" ht="25.5" x14ac:dyDescent="0.25">
      <c r="A42" s="4" t="s">
        <v>163</v>
      </c>
      <c r="B42" s="4" t="s">
        <v>101</v>
      </c>
      <c r="C42" s="4" t="s">
        <v>39</v>
      </c>
      <c r="D42" s="4" t="s">
        <v>164</v>
      </c>
      <c r="E42" s="4" t="s">
        <v>34</v>
      </c>
      <c r="F42" s="20" t="s">
        <v>103</v>
      </c>
      <c r="G42" s="4" t="str">
        <f t="shared" si="1"/>
        <v>PASS</v>
      </c>
    </row>
    <row r="43" spans="1:7" ht="25.5" x14ac:dyDescent="0.25">
      <c r="A43" s="4" t="s">
        <v>165</v>
      </c>
      <c r="B43" s="4" t="s">
        <v>101</v>
      </c>
      <c r="C43" s="4" t="s">
        <v>39</v>
      </c>
      <c r="D43" s="4" t="s">
        <v>166</v>
      </c>
      <c r="E43" s="4" t="s">
        <v>34</v>
      </c>
      <c r="F43" s="20" t="s">
        <v>103</v>
      </c>
      <c r="G43" s="4" t="str">
        <f t="shared" si="1"/>
        <v>PASS</v>
      </c>
    </row>
    <row r="44" spans="1:7" x14ac:dyDescent="0.25">
      <c r="A44" s="4" t="s">
        <v>167</v>
      </c>
      <c r="B44" s="4" t="s">
        <v>101</v>
      </c>
      <c r="C44" s="4" t="s">
        <v>40</v>
      </c>
      <c r="D44" s="4" t="s">
        <v>168</v>
      </c>
      <c r="E44" s="4" t="s">
        <v>34</v>
      </c>
      <c r="F44" s="20" t="s">
        <v>103</v>
      </c>
      <c r="G44" s="4" t="str">
        <f t="shared" si="1"/>
        <v>PASS</v>
      </c>
    </row>
    <row r="45" spans="1:7" x14ac:dyDescent="0.25">
      <c r="A45" s="4" t="s">
        <v>169</v>
      </c>
      <c r="B45" s="4" t="s">
        <v>101</v>
      </c>
      <c r="C45" s="4" t="s">
        <v>40</v>
      </c>
      <c r="D45" s="4" t="s">
        <v>170</v>
      </c>
      <c r="E45" s="4" t="s">
        <v>34</v>
      </c>
      <c r="F45" s="20" t="s">
        <v>103</v>
      </c>
      <c r="G45" s="4" t="str">
        <f t="shared" si="1"/>
        <v>PASS</v>
      </c>
    </row>
    <row r="46" spans="1:7" x14ac:dyDescent="0.25">
      <c r="A46" s="4" t="s">
        <v>171</v>
      </c>
      <c r="B46" s="4" t="s">
        <v>101</v>
      </c>
      <c r="C46" s="4" t="s">
        <v>40</v>
      </c>
      <c r="D46" s="4" t="s">
        <v>172</v>
      </c>
      <c r="E46" s="4" t="s">
        <v>34</v>
      </c>
      <c r="F46" s="20" t="s">
        <v>103</v>
      </c>
      <c r="G46" s="4" t="str">
        <f t="shared" si="1"/>
        <v>PASS</v>
      </c>
    </row>
    <row r="47" spans="1:7" x14ac:dyDescent="0.25">
      <c r="A47" s="4" t="s">
        <v>173</v>
      </c>
      <c r="B47" s="4" t="s">
        <v>101</v>
      </c>
      <c r="C47" s="4" t="s">
        <v>40</v>
      </c>
      <c r="D47" s="4" t="s">
        <v>174</v>
      </c>
      <c r="E47" s="4" t="s">
        <v>103</v>
      </c>
      <c r="F47" s="20" t="s">
        <v>103</v>
      </c>
      <c r="G47" s="4" t="str">
        <f t="shared" si="1"/>
        <v>No ejecutado</v>
      </c>
    </row>
    <row r="48" spans="1:7" x14ac:dyDescent="0.25">
      <c r="A48" s="4" t="s">
        <v>175</v>
      </c>
      <c r="B48" s="4" t="s">
        <v>101</v>
      </c>
      <c r="C48" s="4" t="s">
        <v>40</v>
      </c>
      <c r="D48" s="4" t="s">
        <v>176</v>
      </c>
      <c r="E48" s="4" t="s">
        <v>34</v>
      </c>
      <c r="F48" s="20" t="s">
        <v>103</v>
      </c>
      <c r="G48" s="4" t="str">
        <f t="shared" si="1"/>
        <v>PASS</v>
      </c>
    </row>
    <row r="49" spans="1:7" x14ac:dyDescent="0.25">
      <c r="A49" s="4" t="s">
        <v>177</v>
      </c>
      <c r="B49" s="4" t="s">
        <v>101</v>
      </c>
      <c r="C49" s="4" t="s">
        <v>40</v>
      </c>
      <c r="D49" s="4" t="s">
        <v>178</v>
      </c>
      <c r="E49" s="4" t="s">
        <v>34</v>
      </c>
      <c r="F49" s="20" t="s">
        <v>103</v>
      </c>
      <c r="G49" s="4" t="str">
        <f t="shared" si="1"/>
        <v>PASS</v>
      </c>
    </row>
    <row r="50" spans="1:7" x14ac:dyDescent="0.25">
      <c r="A50" s="4" t="s">
        <v>179</v>
      </c>
      <c r="B50" s="4" t="s">
        <v>101</v>
      </c>
      <c r="C50" s="4" t="s">
        <v>40</v>
      </c>
      <c r="D50" s="4" t="s">
        <v>180</v>
      </c>
      <c r="E50" s="4" t="s">
        <v>34</v>
      </c>
      <c r="F50" s="20" t="s">
        <v>103</v>
      </c>
      <c r="G50" s="4" t="str">
        <f t="shared" si="1"/>
        <v>PASS</v>
      </c>
    </row>
    <row r="51" spans="1:7" x14ac:dyDescent="0.25">
      <c r="A51" s="4" t="s">
        <v>181</v>
      </c>
      <c r="B51" s="4" t="s">
        <v>101</v>
      </c>
      <c r="C51" s="4" t="s">
        <v>40</v>
      </c>
      <c r="D51" s="4" t="s">
        <v>182</v>
      </c>
      <c r="E51" s="4" t="s">
        <v>34</v>
      </c>
      <c r="F51" s="20" t="s">
        <v>103</v>
      </c>
      <c r="G51" s="4" t="str">
        <f t="shared" si="1"/>
        <v>PASS</v>
      </c>
    </row>
    <row r="52" spans="1:7" x14ac:dyDescent="0.25">
      <c r="A52" s="4" t="s">
        <v>183</v>
      </c>
      <c r="B52" s="4" t="s">
        <v>101</v>
      </c>
      <c r="C52" s="4" t="s">
        <v>40</v>
      </c>
      <c r="D52" s="4" t="s">
        <v>184</v>
      </c>
      <c r="E52" s="4" t="s">
        <v>103</v>
      </c>
      <c r="F52" s="20" t="s">
        <v>103</v>
      </c>
      <c r="G52" s="4" t="str">
        <f t="shared" si="1"/>
        <v>No ejecutado</v>
      </c>
    </row>
    <row r="53" spans="1:7" x14ac:dyDescent="0.25">
      <c r="A53" s="4" t="s">
        <v>185</v>
      </c>
      <c r="B53" s="4" t="s">
        <v>101</v>
      </c>
      <c r="C53" s="4" t="s">
        <v>40</v>
      </c>
      <c r="D53" s="4" t="s">
        <v>186</v>
      </c>
      <c r="E53" s="4" t="s">
        <v>103</v>
      </c>
      <c r="F53" s="20" t="s">
        <v>103</v>
      </c>
      <c r="G53" s="4" t="str">
        <f t="shared" si="1"/>
        <v>No ejecutado</v>
      </c>
    </row>
    <row r="54" spans="1:7" x14ac:dyDescent="0.25">
      <c r="A54" s="4" t="s">
        <v>187</v>
      </c>
      <c r="B54" s="4" t="s">
        <v>101</v>
      </c>
      <c r="C54" s="4" t="s">
        <v>41</v>
      </c>
      <c r="D54" s="4" t="s">
        <v>188</v>
      </c>
      <c r="E54" s="4" t="s">
        <v>34</v>
      </c>
      <c r="F54" s="20" t="s">
        <v>103</v>
      </c>
      <c r="G54" s="4" t="str">
        <f t="shared" si="1"/>
        <v>PASS</v>
      </c>
    </row>
    <row r="55" spans="1:7" x14ac:dyDescent="0.25">
      <c r="A55" s="4" t="s">
        <v>189</v>
      </c>
      <c r="B55" s="4" t="s">
        <v>101</v>
      </c>
      <c r="C55" s="4" t="s">
        <v>41</v>
      </c>
      <c r="D55" s="4" t="s">
        <v>190</v>
      </c>
      <c r="E55" s="4" t="s">
        <v>34</v>
      </c>
      <c r="F55" s="20" t="s">
        <v>103</v>
      </c>
      <c r="G55" s="4" t="str">
        <f t="shared" si="1"/>
        <v>PASS</v>
      </c>
    </row>
    <row r="56" spans="1:7" x14ac:dyDescent="0.25">
      <c r="A56" s="4" t="s">
        <v>191</v>
      </c>
      <c r="B56" s="4" t="s">
        <v>192</v>
      </c>
      <c r="C56" s="4" t="s">
        <v>42</v>
      </c>
      <c r="D56" s="4" t="s">
        <v>193</v>
      </c>
      <c r="E56" s="4" t="s">
        <v>34</v>
      </c>
      <c r="F56" s="20" t="s">
        <v>103</v>
      </c>
      <c r="G56" s="4" t="str">
        <f t="shared" si="1"/>
        <v>PASS</v>
      </c>
    </row>
    <row r="57" spans="1:7" x14ac:dyDescent="0.25">
      <c r="A57" s="4" t="s">
        <v>194</v>
      </c>
      <c r="B57" s="4" t="s">
        <v>192</v>
      </c>
      <c r="C57" s="4" t="s">
        <v>42</v>
      </c>
      <c r="D57" s="4" t="s">
        <v>195</v>
      </c>
      <c r="E57" s="4" t="s">
        <v>34</v>
      </c>
      <c r="F57" s="20" t="s">
        <v>103</v>
      </c>
      <c r="G57" s="4" t="str">
        <f t="shared" si="1"/>
        <v>PASS</v>
      </c>
    </row>
    <row r="58" spans="1:7" x14ac:dyDescent="0.25">
      <c r="A58" s="4" t="s">
        <v>196</v>
      </c>
      <c r="B58" s="4" t="s">
        <v>192</v>
      </c>
      <c r="C58" s="4" t="s">
        <v>42</v>
      </c>
      <c r="D58" s="4" t="s">
        <v>197</v>
      </c>
      <c r="E58" s="4" t="s">
        <v>103</v>
      </c>
      <c r="F58" s="20" t="s">
        <v>103</v>
      </c>
      <c r="G58" s="4" t="str">
        <f t="shared" si="1"/>
        <v>No ejecutado</v>
      </c>
    </row>
    <row r="59" spans="1:7" x14ac:dyDescent="0.25">
      <c r="A59" s="4" t="s">
        <v>198</v>
      </c>
      <c r="B59" s="4" t="s">
        <v>192</v>
      </c>
      <c r="C59" s="4" t="s">
        <v>42</v>
      </c>
      <c r="D59" s="4" t="s">
        <v>199</v>
      </c>
      <c r="E59" s="4" t="s">
        <v>103</v>
      </c>
      <c r="F59" s="20" t="s">
        <v>103</v>
      </c>
      <c r="G59" s="4" t="str">
        <f t="shared" si="1"/>
        <v>No ejecutado</v>
      </c>
    </row>
    <row r="60" spans="1:7" x14ac:dyDescent="0.25">
      <c r="A60" s="4" t="s">
        <v>200</v>
      </c>
      <c r="B60" s="4" t="s">
        <v>192</v>
      </c>
      <c r="C60" s="4" t="s">
        <v>42</v>
      </c>
      <c r="D60" s="4" t="s">
        <v>201</v>
      </c>
      <c r="E60" s="4" t="s">
        <v>103</v>
      </c>
      <c r="F60" s="20" t="s">
        <v>103</v>
      </c>
      <c r="G60" s="4" t="str">
        <f t="shared" si="1"/>
        <v>No ejecutado</v>
      </c>
    </row>
    <row r="61" spans="1:7" x14ac:dyDescent="0.25">
      <c r="A61" s="4" t="s">
        <v>202</v>
      </c>
      <c r="B61" s="4" t="s">
        <v>192</v>
      </c>
      <c r="C61" s="4" t="s">
        <v>42</v>
      </c>
      <c r="D61" s="4" t="s">
        <v>203</v>
      </c>
      <c r="E61" s="4" t="s">
        <v>103</v>
      </c>
      <c r="F61" s="20" t="s">
        <v>103</v>
      </c>
      <c r="G61" s="4" t="str">
        <f t="shared" si="1"/>
        <v>No ejecutado</v>
      </c>
    </row>
    <row r="62" spans="1:7" x14ac:dyDescent="0.25">
      <c r="A62" s="4" t="s">
        <v>204</v>
      </c>
      <c r="B62" s="4" t="s">
        <v>205</v>
      </c>
      <c r="C62" s="4" t="s">
        <v>42</v>
      </c>
      <c r="D62" s="4" t="s">
        <v>206</v>
      </c>
      <c r="E62" s="4" t="s">
        <v>34</v>
      </c>
      <c r="F62" s="20" t="s">
        <v>103</v>
      </c>
      <c r="G62" s="4" t="str">
        <f t="shared" si="1"/>
        <v>PASS</v>
      </c>
    </row>
    <row r="63" spans="1:7" x14ac:dyDescent="0.25">
      <c r="A63" s="4" t="s">
        <v>207</v>
      </c>
      <c r="B63" s="4" t="s">
        <v>205</v>
      </c>
      <c r="C63" s="4" t="s">
        <v>42</v>
      </c>
      <c r="D63" s="4" t="s">
        <v>208</v>
      </c>
      <c r="E63" s="4" t="s">
        <v>103</v>
      </c>
      <c r="F63" s="20" t="s">
        <v>103</v>
      </c>
      <c r="G63" s="4" t="str">
        <f t="shared" si="1"/>
        <v>No ejecutado</v>
      </c>
    </row>
    <row r="64" spans="1:7" x14ac:dyDescent="0.25">
      <c r="A64" s="4" t="s">
        <v>209</v>
      </c>
      <c r="B64" s="4" t="s">
        <v>205</v>
      </c>
      <c r="C64" s="4" t="s">
        <v>42</v>
      </c>
      <c r="D64" s="4" t="s">
        <v>210</v>
      </c>
      <c r="E64" s="4" t="s">
        <v>103</v>
      </c>
      <c r="F64" s="20" t="s">
        <v>103</v>
      </c>
      <c r="G64" s="4" t="str">
        <f t="shared" si="1"/>
        <v>No ejecutado</v>
      </c>
    </row>
    <row r="65" spans="1:7" x14ac:dyDescent="0.25">
      <c r="A65" s="4" t="s">
        <v>211</v>
      </c>
      <c r="B65" s="4" t="s">
        <v>212</v>
      </c>
      <c r="C65" s="4" t="s">
        <v>42</v>
      </c>
      <c r="D65" s="4" t="s">
        <v>213</v>
      </c>
      <c r="E65" s="4" t="s">
        <v>34</v>
      </c>
      <c r="F65" s="20" t="s">
        <v>103</v>
      </c>
      <c r="G65" s="4" t="str">
        <f t="shared" si="1"/>
        <v>PASS</v>
      </c>
    </row>
    <row r="66" spans="1:7" x14ac:dyDescent="0.25">
      <c r="A66" s="4" t="s">
        <v>214</v>
      </c>
      <c r="B66" s="4" t="s">
        <v>212</v>
      </c>
      <c r="C66" s="4" t="s">
        <v>42</v>
      </c>
      <c r="D66" s="4" t="s">
        <v>215</v>
      </c>
      <c r="E66" s="4" t="s">
        <v>34</v>
      </c>
      <c r="F66" s="20" t="s">
        <v>103</v>
      </c>
      <c r="G66" s="4" t="str">
        <f t="shared" si="1"/>
        <v>PASS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Resultados</vt:lpstr>
      <vt:lpstr>Defectos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Ortiz</cp:lastModifiedBy>
  <dcterms:created xsi:type="dcterms:W3CDTF">2026-10-26T02:18:48Z</dcterms:created>
  <dcterms:modified xsi:type="dcterms:W3CDTF">2026-10-26T02:18:49Z</dcterms:modified>
</cp:coreProperties>
</file>