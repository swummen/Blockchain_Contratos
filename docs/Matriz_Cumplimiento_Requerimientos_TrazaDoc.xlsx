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8bf3affe725aa39/Escritorio/Blockchain_Contratos/docs/"/>
    </mc:Choice>
  </mc:AlternateContent>
  <xr:revisionPtr revIDLastSave="0" documentId="11_EB55B2E71290C2059596A08032529C63A7FA87A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RF" sheetId="2" r:id="rId2"/>
    <sheet name="RNF" sheetId="3" r:id="rId3"/>
  </sheets>
  <definedNames>
    <definedName name="_xlnm._FilterDatabase" localSheetId="1" hidden="1">RF!$A$1:$H$56</definedName>
    <definedName name="_xlnm._FilterDatabase" localSheetId="2" hidden="1">RNF!$A$1:$F$31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8" i="1" s="1"/>
  <c r="B7" i="1"/>
</calcChain>
</file>

<file path=xl/sharedStrings.xml><?xml version="1.0" encoding="utf-8"?>
<sst xmlns="http://schemas.openxmlformats.org/spreadsheetml/2006/main" count="603" uniqueCount="345">
  <si>
    <t>Matriz de Cumplimiento de Requerimientos · TrazaDoc</t>
  </si>
  <si>
    <t>Cruza los requerimientos del SRS v2.0 (Fase 1) con los casos del Plan de Pruebas y su resultado final: el del Ciclo 2 (Azure) o, si el caso no se repitió allá, el del Ciclo 1 (local). Fecha de corte: 29/10/2026.</t>
  </si>
  <si>
    <t>Tipo</t>
  </si>
  <si>
    <t>Total</t>
  </si>
  <si>
    <t>Cumple</t>
  </si>
  <si>
    <t>Parcial</t>
  </si>
  <si>
    <t>No cumple</t>
  </si>
  <si>
    <t>Requerimientos funcionales (RF)</t>
  </si>
  <si>
    <t>Requerimientos no funcionales (RNF)</t>
  </si>
  <si>
    <t>% que cumple (Cumple / Total)</t>
  </si>
  <si>
    <t>Requerimientos en Parcial</t>
  </si>
  <si>
    <t>RNF-012 Disponibilidad del sistema</t>
  </si>
  <si>
    <t>No se midió la disponibilidad con una verificación automática cada 5 minutos durante un mes. Los contenedores reinician solos y el sistema estuvo arriba en todas las pruebas del 25 al 29/10/2026.</t>
  </si>
  <si>
    <t>RNF-015 Facilidad de uso</t>
  </si>
  <si>
    <t>No se hizo una prueba de usabilidad con usuarios de la empresa. El equipo completó todas las tareas de los tres roles sin ayuda; queda como recomendación una prueba piloto.</t>
  </si>
  <si>
    <t>RNF-025 Compatibilidad web</t>
  </si>
  <si>
    <t>Las pruebas se ejecutaron en Google Chrome. Edge y Firefox, previstos en el plan, no se probaron.</t>
  </si>
  <si>
    <t>RF</t>
  </si>
  <si>
    <t>Requerimiento</t>
  </si>
  <si>
    <t>Historia</t>
  </si>
  <si>
    <t>Implementado en</t>
  </si>
  <si>
    <t>Casos de prueba</t>
  </si>
  <si>
    <t>Resultado de los casos</t>
  </si>
  <si>
    <t>Cumplimiento</t>
  </si>
  <si>
    <t>Observación</t>
  </si>
  <si>
    <t>RF-001</t>
  </si>
  <si>
    <t>Selección de rol</t>
  </si>
  <si>
    <t>HU-001</t>
  </si>
  <si>
    <t>POST /auth/login · authService.login · LoginPage</t>
  </si>
  <si>
    <t>CP-01, CP-02</t>
  </si>
  <si>
    <t>2 de 2 PASS (2 en Azure)</t>
  </si>
  <si>
    <t>Cambio de diseño: el rol no se elige; se toma de la cuenta (el acceso sigue siendo por rol).</t>
  </si>
  <si>
    <t>RF-002</t>
  </si>
  <si>
    <t>Autenticación mediante credenciales</t>
  </si>
  <si>
    <t>POST /auth/login · authService.login (bcrypt) · LoginPage</t>
  </si>
  <si>
    <t>RF-003</t>
  </si>
  <si>
    <t>Autenticación de segundo factor</t>
  </si>
  <si>
    <t>HU-002</t>
  </si>
  <si>
    <t>POST /auth/login · authService.login → emailService.sendOtpEmail (Brevo) · LoginPage</t>
  </si>
  <si>
    <t>CP-03, CP-04</t>
  </si>
  <si>
    <t>RF-004</t>
  </si>
  <si>
    <t>Validación del token</t>
  </si>
  <si>
    <t>POST /auth/verify-otp · authService.verifyOtp (5 min, 5 intentos) · OtpPage</t>
  </si>
  <si>
    <t>RF-005</t>
  </si>
  <si>
    <t>Control de acceso por rol</t>
  </si>
  <si>
    <t>POST /auth/verify-otp + middlewares/auth requireAuth (JWT + sesión + rol) · ProtectedRoute</t>
  </si>
  <si>
    <t>RF-006</t>
  </si>
  <si>
    <t>Redirección según rol</t>
  </si>
  <si>
    <t>POST /auth/verify-otp (devuelve el rol) · OtpPage → panel del rol (AppRoutes)</t>
  </si>
  <si>
    <t>RF-007</t>
  </si>
  <si>
    <t>Cierre de sesión</t>
  </si>
  <si>
    <t>HU-003</t>
  </si>
  <si>
    <t>POST /auth/logout · authService.logout (borra la sesión) · UserMenu → LoggedOutPage</t>
  </si>
  <si>
    <t>CP-05, CP-06</t>
  </si>
  <si>
    <t>RF-008</t>
  </si>
  <si>
    <t>Carga de documentos</t>
  </si>
  <si>
    <t>HU-005</t>
  </si>
  <si>
    <t>POST /documents (multipart) · documentService.registerDocument, isPdfSignature; multer · CargarDocumentoPage</t>
  </si>
  <si>
    <t>CP-16, CP-17</t>
  </si>
  <si>
    <t>RF-009</t>
  </si>
  <si>
    <t>Restricción de formato</t>
  </si>
  <si>
    <t>RF-010</t>
  </si>
  <si>
    <t>Restricción de carga individual</t>
  </si>
  <si>
    <t>RF-011</t>
  </si>
  <si>
    <t>Restricción de tamaño</t>
  </si>
  <si>
    <t>RF-012</t>
  </si>
  <si>
    <t>Validación previa de documentos</t>
  </si>
  <si>
    <t>RF-013</t>
  </si>
  <si>
    <t>Registro del documento</t>
  </si>
  <si>
    <t>HU-006</t>
  </si>
  <si>
    <t>POST /documents · documentService.registerDocument · CargarDocumentoPage · chaincode RegisterDocument</t>
  </si>
  <si>
    <t>CP-18, CP-19</t>
  </si>
  <si>
    <t>RF-014</t>
  </si>
  <si>
    <t>Generación de huella criptográfica</t>
  </si>
  <si>
    <t>RF-015</t>
  </si>
  <si>
    <t>Registro de la huella criptográfica</t>
  </si>
  <si>
    <t>RF-016</t>
  </si>
  <si>
    <t>Registro en blockchain</t>
  </si>
  <si>
    <t>HU-007</t>
  </si>
  <si>
    <t>POST /documents · documentService.registerDocument → fabric/gateway submitChaincodeTransaction · CargarDocumentoPage · chaincode RegisterDocument</t>
  </si>
  <si>
    <t>CP-20, CP-21</t>
  </si>
  <si>
    <t>2 de 2 PASS (1 en Azure)</t>
  </si>
  <si>
    <t>RF-017</t>
  </si>
  <si>
    <t>Confirmación de registro</t>
  </si>
  <si>
    <t>RF-018</t>
  </si>
  <si>
    <t>Consulta de documentos</t>
  </si>
  <si>
    <t>HU-008</t>
  </si>
  <si>
    <t>GET /documents · documentService.listDocuments · MisDocumentosPage</t>
  </si>
  <si>
    <t>CP-22, CP-23</t>
  </si>
  <si>
    <t>RF-019</t>
  </si>
  <si>
    <t>Información del documento</t>
  </si>
  <si>
    <t>RF-020</t>
  </si>
  <si>
    <t>Estado del documento</t>
  </si>
  <si>
    <t>RF-021</t>
  </si>
  <si>
    <t>Consulta de trazabilidad</t>
  </si>
  <si>
    <t>HU-009</t>
  </si>
  <si>
    <t>GET /documents/{id}/events · documentService.getDocumentEvents · MiTrazabilidadPage · chaincode GetDocument, GetDocumentEvents</t>
  </si>
  <si>
    <t>CP-24, CP-25</t>
  </si>
  <si>
    <t>RF-022</t>
  </si>
  <si>
    <t>Información de trazabilidad</t>
  </si>
  <si>
    <t>RF-023</t>
  </si>
  <si>
    <t>Acceso al módulo de verificación</t>
  </si>
  <si>
    <t>HU-010</t>
  </si>
  <si>
    <t>requireAuth("Verificador") en POST /documents/{id}/verifications · VerificarIntegridadPage ( /verificador/verificar )</t>
  </si>
  <si>
    <t>CP-26, CP-27</t>
  </si>
  <si>
    <t>RF-024</t>
  </si>
  <si>
    <t>Selección del documento registrado</t>
  </si>
  <si>
    <t>GET /documents, GET /documents/{id} · documentService.listDocuments, getDocument · VerificarIntegridadPage · chaincode GetDocument</t>
  </si>
  <si>
    <t>Selección en dos pasos: persona → contrato (nota de cambio en el SPEC).</t>
  </si>
  <si>
    <t>RF-025</t>
  </si>
  <si>
    <t>Validación de existencia</t>
  </si>
  <si>
    <t>GET /documents/{id} · documentService.getDocument (404 si no existe) · chaincode GetDocument</t>
  </si>
  <si>
    <t>RF-026</t>
  </si>
  <si>
    <t>Consulta de huella registrada</t>
  </si>
  <si>
    <t>HU-011</t>
  </si>
  <si>
    <t>GET /documents/{id} · documentService.getDocument · VerificarIntegridadPage (HashDisplay) · chaincode GetDocument</t>
  </si>
  <si>
    <t>CP-28, CP-29</t>
  </si>
  <si>
    <t>RF-027</t>
  </si>
  <si>
    <t>Restricción de visualización del hash</t>
  </si>
  <si>
    <t>documentService.maskHash en GET /documents y GET /documents/{id} · HashDisplay</t>
  </si>
  <si>
    <t>Solo el Verificador ve la huella completa (nota de cambio 2026-10-15).</t>
  </si>
  <si>
    <t>RF-028</t>
  </si>
  <si>
    <t>Carga del documento a verificar</t>
  </si>
  <si>
    <t>HU-012</t>
  </si>
  <si>
    <t>POST /documents/{id}/verifications · documentService.verifyDocument · VerificarIntegridadPage</t>
  </si>
  <si>
    <t>CP-30, CP-31</t>
  </si>
  <si>
    <t>RF-029</t>
  </si>
  <si>
    <t>Validación del documento de comparación</t>
  </si>
  <si>
    <t>RF-030</t>
  </si>
  <si>
    <t>Generación de hash del documento de comparación</t>
  </si>
  <si>
    <t>HU-013</t>
  </si>
  <si>
    <t>POST /documents/{id}/verifications · documentService.verifyDocument · VerificarIntegridadPage · chaincode GetDocument</t>
  </si>
  <si>
    <t>CP-32, CP-33</t>
  </si>
  <si>
    <t>RF-031</t>
  </si>
  <si>
    <t>Comparación de huellas</t>
  </si>
  <si>
    <t>RF-032</t>
  </si>
  <si>
    <t>Resultado de la verificación</t>
  </si>
  <si>
    <t>RF-033</t>
  </si>
  <si>
    <t>Visualización de evidencia</t>
  </si>
  <si>
    <t>RF-034</t>
  </si>
  <si>
    <t>Actualización del estado</t>
  </si>
  <si>
    <t>HU-014</t>
  </si>
  <si>
    <t>POST /documents/{id}/verifications · documentService.verifyDocument · VerificarIntegridadPage · chaincode RecordVerification</t>
  </si>
  <si>
    <t>CP-34, CP-35</t>
  </si>
  <si>
    <t>RF-035</t>
  </si>
  <si>
    <t>Registro de la verificación</t>
  </si>
  <si>
    <t>RF-036</t>
  </si>
  <si>
    <t>Nueva verificación</t>
  </si>
  <si>
    <t>RF-037</t>
  </si>
  <si>
    <t>Consulta de documentos registrados</t>
  </si>
  <si>
    <t>HU-015</t>
  </si>
  <si>
    <t>GET /documents · documentService.listDocuments · DocumentosPage</t>
  </si>
  <si>
    <t>CP-36, CP-37</t>
  </si>
  <si>
    <t>Sin búsqueda ni paginación; tope de 100 documentos.</t>
  </si>
  <si>
    <t>RF-038</t>
  </si>
  <si>
    <t>Vista de documentos del verificador</t>
  </si>
  <si>
    <t>RF-039</t>
  </si>
  <si>
    <t>Consulta de trazabilidad general</t>
  </si>
  <si>
    <t>HU-016</t>
  </si>
  <si>
    <t>GET /events · documentService.getAllEvents · TrazabilidadGlobalPage · chaincode GetAllEvents</t>
  </si>
  <si>
    <t>CP-38, CP-39</t>
  </si>
  <si>
    <t>RF-040</t>
  </si>
  <si>
    <t>Información de trazabilidad general</t>
  </si>
  <si>
    <t>RF-041</t>
  </si>
  <si>
    <t>Panel general</t>
  </si>
  <si>
    <t>HU-017</t>
  </si>
  <si>
    <t>GET /documents/summary · documentService.getDocumentsSummary · DashboardPage</t>
  </si>
  <si>
    <t>CP-40, CP-41</t>
  </si>
  <si>
    <t>RF-042</t>
  </si>
  <si>
    <t>Resumen documental</t>
  </si>
  <si>
    <t>GET /documents/summary (aggregate por estado) · DashboardPage (KpiCard)</t>
  </si>
  <si>
    <t>RF-043</t>
  </si>
  <si>
    <t>Consulta de usuarios</t>
  </si>
  <si>
    <t>HU-018</t>
  </si>
  <si>
    <t>GET /users · userService.listUsers · UsuariosPage</t>
  </si>
  <si>
    <t>CP-42, CP-43</t>
  </si>
  <si>
    <t>RF-044</t>
  </si>
  <si>
    <t>Información de usuarios</t>
  </si>
  <si>
    <t>GET /users (id, nombre, correo, rol, estado; sin contraseña) · UsuariosPage</t>
  </si>
  <si>
    <t>RF-045</t>
  </si>
  <si>
    <t>Creación de usuarios</t>
  </si>
  <si>
    <t>POST /users · userService.createUser (contraseña temporal) · UsuariosPage</t>
  </si>
  <si>
    <t>RF-046</t>
  </si>
  <si>
    <t>Edición de usuarios</t>
  </si>
  <si>
    <t>HU-018, HU-024</t>
  </si>
  <si>
    <t>PUT /users/{id} · userService.updateUser (corta sesiones si cambia el rol) · UsuariosPage</t>
  </si>
  <si>
    <t>CP-42, CP-43, CP-48, CP-49</t>
  </si>
  <si>
    <t>4 de 4 PASS (4 en Azure)</t>
  </si>
  <si>
    <t>RF-047</t>
  </si>
  <si>
    <t>Desactivación de usuarios</t>
  </si>
  <si>
    <t>POST /users/{id}/deactivate · userService.deactivateUser (baja lógica + corta sesiones) · UsuariosPage</t>
  </si>
  <si>
    <t>RF-048</t>
  </si>
  <si>
    <t>Consulta administrativa de documentos</t>
  </si>
  <si>
    <t>HU-019</t>
  </si>
  <si>
    <t>CP-44, CP-45</t>
  </si>
  <si>
    <t>RF-049</t>
  </si>
  <si>
    <t>Vista administrativa de documentos</t>
  </si>
  <si>
    <t>RF-050</t>
  </si>
  <si>
    <t>Consulta de trazabilidad administrativa</t>
  </si>
  <si>
    <t>HU-020</t>
  </si>
  <si>
    <t>GET /events · documentService.getAllEvents · TrazabilidadPage · chaincode GetAllEvents</t>
  </si>
  <si>
    <t>CP-46, CP-47</t>
  </si>
  <si>
    <t>RF-051</t>
  </si>
  <si>
    <t>Registro administrativo de trazabilidad</t>
  </si>
  <si>
    <t>RF-052</t>
  </si>
  <si>
    <t>Cambio de contraseña</t>
  </si>
  <si>
    <t>HU-004</t>
  </si>
  <si>
    <t>POST /auth/change-password · authService.changePassword · ChangePasswordDialog</t>
  </si>
  <si>
    <t>CP-07, CP-08</t>
  </si>
  <si>
    <t>RF-053</t>
  </si>
  <si>
    <t>Validación de cambio de contraseña</t>
  </si>
  <si>
    <t>POST /auth/change-password (valida la contraseña actual, ≥ 8 caracteres, distinta) · ChangePasswordDialog</t>
  </si>
  <si>
    <t>RF-054</t>
  </si>
  <si>
    <t>Bloqueo por intentos fallidos</t>
  </si>
  <si>
    <t>HU-022</t>
  </si>
  <si>
    <t>authService.login (bloqueo y recordFailedLoginAttempt) · POST /auth/login (423) · LoginPage</t>
  </si>
  <si>
    <t>CP-09, CP-10, CP-11, CP-12</t>
  </si>
  <si>
    <t>4 de 4 PASS (0 en Azure)</t>
  </si>
  <si>
    <t>Bloqueo de 15 min tras 5 intentos y registro de cada intento fallido (sin contraseña, 90 días).</t>
  </si>
  <si>
    <t>RF-055</t>
  </si>
  <si>
    <t>Aceptación de la política de tratamiento de datos</t>
  </si>
  <si>
    <t>HU-023</t>
  </si>
  <si>
    <t>POST /auth/policy/accept · authService.acceptPolicy · requireAuth (403 POLICY_REQUIRED) · PoliticaDatosPage</t>
  </si>
  <si>
    <t>CP-13, CP-14, CP-15</t>
  </si>
  <si>
    <t>3 de 3 PASS (2 en Azure)</t>
  </si>
  <si>
    <t>Política versión 1.0 (Ley 1581); se exige en el backend hasta aceptarla.</t>
  </si>
  <si>
    <t>RNF</t>
  </si>
  <si>
    <t>Evidencia u observación</t>
  </si>
  <si>
    <t>RNF-001</t>
  </si>
  <si>
    <t>Protección de contraseñas</t>
  </si>
  <si>
    <t>Contraseñas con bcrypt (backend/tests/auth.login.test.ts).</t>
  </si>
  <si>
    <t>RNF-002</t>
  </si>
  <si>
    <t>Autenticación segura</t>
  </si>
  <si>
    <t>CP-01, CP-02, CP-03</t>
  </si>
  <si>
    <t>3 de 3 PASS (3 en Azure)</t>
  </si>
  <si>
    <t>Contraseña más código de 6 dígitos por correo.</t>
  </si>
  <si>
    <t>RNF-003</t>
  </si>
  <si>
    <t>Control de acceso</t>
  </si>
  <si>
    <t>CP-04, CP-29, CP-37, CP-42, CP-43, CP-48, CP-49</t>
  </si>
  <si>
    <t>7 de 7 PASS (6 en Azure)</t>
  </si>
  <si>
    <t>Cada rol solo accede a sus funciones.</t>
  </si>
  <si>
    <t>RNF-004</t>
  </si>
  <si>
    <t>Protección de información sensible</t>
  </si>
  <si>
    <t>CP-37, CP-45, CP-51</t>
  </si>
  <si>
    <t>Huella completa solo para el Verificador; cabeceras de seguridad y puertos cerrados en Azure.</t>
  </si>
  <si>
    <t>RNF-005</t>
  </si>
  <si>
    <t>Integridad de la evidencia</t>
  </si>
  <si>
    <t>INT-01, INT-02, INT-03, INT-04, INT-05, INT-06, TRZ-02</t>
  </si>
  <si>
    <t>7 de 7 PASS (7 en Azure)</t>
  </si>
  <si>
    <t>docs/evidencias/integridad-mutacion.md (Azure).</t>
  </si>
  <si>
    <t>RNF-006</t>
  </si>
  <si>
    <t>Trazabilidad de operaciones</t>
  </si>
  <si>
    <t>CP-11, CP-24, TRZ-01</t>
  </si>
  <si>
    <t>Cada acción queda con usuario, fecha y TX ID.</t>
  </si>
  <si>
    <t>RNF-007</t>
  </si>
  <si>
    <t>Protección de sesiones</t>
  </si>
  <si>
    <t>CP-05, CP-06, CP-12</t>
  </si>
  <si>
    <t>Cierre de sesión, sesión invalidada y cierre por inactividad.</t>
  </si>
  <si>
    <t>RNF-008</t>
  </si>
  <si>
    <t>Privacidad</t>
  </si>
  <si>
    <t>CP-13, CP-14, CP-15, CP-29, CP-37</t>
  </si>
  <si>
    <t>5 de 5 PASS (3 en Azure)</t>
  </si>
  <si>
    <t>Solo la huella va al ledger; política de datos aceptada (Ley 1581 de 2012).</t>
  </si>
  <si>
    <t>RNF-009</t>
  </si>
  <si>
    <t>Tiempo de respuesta</t>
  </si>
  <si>
    <t>REN-02</t>
  </si>
  <si>
    <t>1 de 1 PASS (1 en Azure)</t>
  </si>
  <si>
    <t>Registro en Azure: media de 2.112 ms.</t>
  </si>
  <si>
    <t>RNF-010</t>
  </si>
  <si>
    <t>Rendimiento de verificación</t>
  </si>
  <si>
    <t>REN-01</t>
  </si>
  <si>
    <t>1 de 1 PASS (0 en Azure)</t>
  </si>
  <si>
    <t>P95 de 2.059 ms (local) y 2.125 ms (Azure, 20 verificaciones).</t>
  </si>
  <si>
    <t>RNF-011</t>
  </si>
  <si>
    <t>Procesamiento criptográfico</t>
  </si>
  <si>
    <t>SHA-256 calculada en el backend; la misma huella para el mismo archivo.</t>
  </si>
  <si>
    <t>RNF-012</t>
  </si>
  <si>
    <t>Disponibilidad del sistema</t>
  </si>
  <si>
    <t>CP-50</t>
  </si>
  <si>
    <t>RNF-013</t>
  </si>
  <si>
    <t>Consistencia de información</t>
  </si>
  <si>
    <t>TRZ-03</t>
  </si>
  <si>
    <t>docs/evidencias/consistencia-ledger-mongo.md: 50 de 50 documentos.</t>
  </si>
  <si>
    <t>RNF-014</t>
  </si>
  <si>
    <t>Confiabilidad de la verificación</t>
  </si>
  <si>
    <t>INT-01</t>
  </si>
  <si>
    <t>20 de 20 alteraciones detectadas y 0 falsos positivos en Azure.</t>
  </si>
  <si>
    <t>RNF-015</t>
  </si>
  <si>
    <t>Facilidad de uso</t>
  </si>
  <si>
    <t>Sin caso: revisión</t>
  </si>
  <si>
    <t>Revisión</t>
  </si>
  <si>
    <t>RNF-016</t>
  </si>
  <si>
    <t>Consistencia de interfaz</t>
  </si>
  <si>
    <t>CP-22, CP-36, CP-44</t>
  </si>
  <si>
    <t>Misma estructura y estados en todos los módulos (DEF-05 corregido).</t>
  </si>
  <si>
    <t>RNF-017</t>
  </si>
  <si>
    <t>Retroalimentación al usuario</t>
  </si>
  <si>
    <t>CP-32, CP-33, CP-42</t>
  </si>
  <si>
    <t>Mensajes de resultado claros tras cada acción.</t>
  </si>
  <si>
    <t>RNF-018</t>
  </si>
  <si>
    <t>Mensajes de error</t>
  </si>
  <si>
    <t>CP-02, CP-17, CP-27, CP-31</t>
  </si>
  <si>
    <t>Mensajes de error comprensibles y sin detalles internos.</t>
  </si>
  <si>
    <t>RNF-019</t>
  </si>
  <si>
    <t>Arquitectura modular</t>
  </si>
  <si>
    <t>Revisión del código: frontend/, backend/, chaincode/ y MongoDB separados (OE3).</t>
  </si>
  <si>
    <t>RNF-020</t>
  </si>
  <si>
    <t>Integración con blockchain</t>
  </si>
  <si>
    <t>CP-20, TRZ-01</t>
  </si>
  <si>
    <t>Registro y verificaciones como transacciones de Fabric con TX ID.</t>
  </si>
  <si>
    <t>RNF-021</t>
  </si>
  <si>
    <t>Contenerización</t>
  </si>
  <si>
    <t>Todo el sistema corre en Docker (local y Azure).</t>
  </si>
  <si>
    <t>RNF-022</t>
  </si>
  <si>
    <t>Escalabilidad del diseño</t>
  </si>
  <si>
    <t>Revisión del diseño (OE2): capas y módulos independientes; los cambios del OE3 se hicieron sin rediseño.</t>
  </si>
  <si>
    <t>RNF-023</t>
  </si>
  <si>
    <t>Formato documental</t>
  </si>
  <si>
    <t>CP-17</t>
  </si>
  <si>
    <t>Solo se aceptan PDF.</t>
  </si>
  <si>
    <t>RNF-024</t>
  </si>
  <si>
    <t>Tamaño máximo</t>
  </si>
  <si>
    <t>CP-16, CP-17, CP-31</t>
  </si>
  <si>
    <t>Se acepta hasta 20 MB y se rechazan 25 y 30 MB.</t>
  </si>
  <si>
    <t>RNF-025</t>
  </si>
  <si>
    <t>Compatibilidad web</t>
  </si>
  <si>
    <t>RNF-026</t>
  </si>
  <si>
    <t>Auditabilidad</t>
  </si>
  <si>
    <t>CP-38, CP-39, CP-46, CP-47</t>
  </si>
  <si>
    <t>Trazabilidad global y administrativa completas.</t>
  </si>
  <si>
    <t>RNF-027</t>
  </si>
  <si>
    <t>Inmutabilidad del registro</t>
  </si>
  <si>
    <t>TRZ-02</t>
  </si>
  <si>
    <t>El registro no cambia y las verificaciones se agregan sin borrar las anteriores.</t>
  </si>
  <si>
    <t>RNF-028</t>
  </si>
  <si>
    <t>Validación funcional</t>
  </si>
  <si>
    <t>51 de 51 casos funcionales en PASS (meta ≥ 90 %).</t>
  </si>
  <si>
    <t>RNF-029</t>
  </si>
  <si>
    <t>Alcance de evaluación</t>
  </si>
  <si>
    <t>INT-01, REN-01, REN-02</t>
  </si>
  <si>
    <t>Evaluación con los 20 documentos sintéticos del plan.</t>
  </si>
  <si>
    <t>RNF-030</t>
  </si>
  <si>
    <t>Seguridad basada en estándares</t>
  </si>
  <si>
    <t>CP-02, CP-37, CP-51</t>
  </si>
  <si>
    <t>Controles A.8.24 y A.8.11 de ISO/IEC 27001:2022 como criterios de diseño (OE1).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</si>
</sst>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4"/>
      <name val="Arial"/>
    </font>
    <font>
      <i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tabSelected="1" workbookViewId="0"/>
  </sheetViews>
  <sheetFormatPr baseColWidth="10" defaultColWidth="9.140625" defaultRowHeight="15" x14ac:dyDescent="0.25"/>
  <cols>
    <col min="1" max="1" width="46" customWidth="1"/>
    <col min="2" max="5" width="14" customWidth="1"/>
  </cols>
  <sheetData>
    <row r="1" spans="1:5" ht="18" x14ac:dyDescent="0.25">
      <c r="A1" s="1" t="s">
        <v>0</v>
      </c>
    </row>
    <row r="2" spans="1:5" ht="42" customHeight="1" x14ac:dyDescent="0.25">
      <c r="A2" s="9" t="s">
        <v>1</v>
      </c>
      <c r="B2" s="10"/>
      <c r="C2" s="10"/>
      <c r="D2" s="10"/>
      <c r="E2" s="10"/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7</v>
      </c>
      <c r="B5" s="3">
        <v>55</v>
      </c>
      <c r="C5" s="3">
        <v>55</v>
      </c>
      <c r="D5" s="3">
        <v>0</v>
      </c>
      <c r="E5" s="3">
        <v>0</v>
      </c>
    </row>
    <row r="6" spans="1:5" x14ac:dyDescent="0.25">
      <c r="A6" s="3" t="s">
        <v>8</v>
      </c>
      <c r="B6" s="3">
        <v>30</v>
      </c>
      <c r="C6" s="3">
        <v>27</v>
      </c>
      <c r="D6" s="3">
        <v>3</v>
      </c>
      <c r="E6" s="3">
        <v>0</v>
      </c>
    </row>
    <row r="7" spans="1:5" x14ac:dyDescent="0.25">
      <c r="A7" s="4" t="s">
        <v>3</v>
      </c>
      <c r="B7" s="4">
        <f>B5+B6</f>
        <v>85</v>
      </c>
      <c r="C7" s="4">
        <f>C5+C6</f>
        <v>82</v>
      </c>
      <c r="D7" s="4">
        <f>D5+D6</f>
        <v>3</v>
      </c>
      <c r="E7" s="4">
        <f>E5+E6</f>
        <v>0</v>
      </c>
    </row>
    <row r="8" spans="1:5" x14ac:dyDescent="0.25">
      <c r="A8" s="4" t="s">
        <v>9</v>
      </c>
      <c r="B8" s="5">
        <f>C7/B7</f>
        <v>0.96470588235294119</v>
      </c>
      <c r="C8" s="4"/>
      <c r="D8" s="4"/>
      <c r="E8" s="4"/>
    </row>
    <row r="10" spans="1:5" x14ac:dyDescent="0.25">
      <c r="A10" s="6" t="s">
        <v>10</v>
      </c>
    </row>
    <row r="11" spans="1:5" ht="57.95" customHeight="1" x14ac:dyDescent="0.25">
      <c r="A11" s="3" t="s">
        <v>11</v>
      </c>
      <c r="B11" s="11" t="s">
        <v>12</v>
      </c>
      <c r="C11" s="12"/>
      <c r="D11" s="12"/>
      <c r="E11" s="13"/>
    </row>
    <row r="12" spans="1:5" ht="57.95" customHeight="1" x14ac:dyDescent="0.25">
      <c r="A12" s="3" t="s">
        <v>13</v>
      </c>
      <c r="B12" s="11" t="s">
        <v>14</v>
      </c>
      <c r="C12" s="12"/>
      <c r="D12" s="12"/>
      <c r="E12" s="13"/>
    </row>
    <row r="13" spans="1:5" ht="57.95" customHeight="1" x14ac:dyDescent="0.25">
      <c r="A13" s="3" t="s">
        <v>15</v>
      </c>
      <c r="B13" s="11" t="s">
        <v>16</v>
      </c>
      <c r="C13" s="12"/>
      <c r="D13" s="12"/>
      <c r="E13" s="13"/>
    </row>
  </sheetData>
  <mergeCells count="4">
    <mergeCell ref="A2:E2"/>
    <mergeCell ref="B12:E12"/>
    <mergeCell ref="B11:E11"/>
    <mergeCell ref="B13:E13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34" customWidth="1"/>
    <col min="3" max="3" width="14" customWidth="1"/>
    <col min="4" max="4" width="46" customWidth="1"/>
    <col min="5" max="5" width="30" customWidth="1"/>
    <col min="6" max="6" width="20" customWidth="1"/>
    <col min="7" max="7" width="13" customWidth="1"/>
    <col min="8" max="8" width="40" customWidth="1"/>
  </cols>
  <sheetData>
    <row r="1" spans="1:8" ht="25.5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ht="25.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7" t="s">
        <v>4</v>
      </c>
      <c r="H2" s="3" t="s">
        <v>31</v>
      </c>
    </row>
    <row r="3" spans="1:8" ht="25.5" x14ac:dyDescent="0.25">
      <c r="A3" s="3" t="s">
        <v>32</v>
      </c>
      <c r="B3" s="3" t="s">
        <v>33</v>
      </c>
      <c r="C3" s="3" t="s">
        <v>27</v>
      </c>
      <c r="D3" s="3" t="s">
        <v>34</v>
      </c>
      <c r="E3" s="3" t="s">
        <v>29</v>
      </c>
      <c r="F3" s="3" t="s">
        <v>30</v>
      </c>
      <c r="G3" s="7" t="s">
        <v>4</v>
      </c>
      <c r="H3" s="3"/>
    </row>
    <row r="4" spans="1:8" ht="25.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30</v>
      </c>
      <c r="G4" s="7" t="s">
        <v>4</v>
      </c>
      <c r="H4" s="3"/>
    </row>
    <row r="5" spans="1:8" ht="25.5" x14ac:dyDescent="0.25">
      <c r="A5" s="3" t="s">
        <v>40</v>
      </c>
      <c r="B5" s="3" t="s">
        <v>41</v>
      </c>
      <c r="C5" s="3" t="s">
        <v>37</v>
      </c>
      <c r="D5" s="3" t="s">
        <v>42</v>
      </c>
      <c r="E5" s="3" t="s">
        <v>39</v>
      </c>
      <c r="F5" s="3" t="s">
        <v>30</v>
      </c>
      <c r="G5" s="7" t="s">
        <v>4</v>
      </c>
      <c r="H5" s="3"/>
    </row>
    <row r="6" spans="1:8" ht="25.5" x14ac:dyDescent="0.25">
      <c r="A6" s="3" t="s">
        <v>43</v>
      </c>
      <c r="B6" s="3" t="s">
        <v>44</v>
      </c>
      <c r="C6" s="3" t="s">
        <v>37</v>
      </c>
      <c r="D6" s="3" t="s">
        <v>45</v>
      </c>
      <c r="E6" s="3" t="s">
        <v>39</v>
      </c>
      <c r="F6" s="3" t="s">
        <v>30</v>
      </c>
      <c r="G6" s="7" t="s">
        <v>4</v>
      </c>
      <c r="H6" s="3"/>
    </row>
    <row r="7" spans="1:8" ht="25.5" x14ac:dyDescent="0.25">
      <c r="A7" s="3" t="s">
        <v>46</v>
      </c>
      <c r="B7" s="3" t="s">
        <v>47</v>
      </c>
      <c r="C7" s="3" t="s">
        <v>37</v>
      </c>
      <c r="D7" s="3" t="s">
        <v>48</v>
      </c>
      <c r="E7" s="3" t="s">
        <v>39</v>
      </c>
      <c r="F7" s="3" t="s">
        <v>30</v>
      </c>
      <c r="G7" s="7" t="s">
        <v>4</v>
      </c>
      <c r="H7" s="3"/>
    </row>
    <row r="8" spans="1:8" ht="25.5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30</v>
      </c>
      <c r="G8" s="7" t="s">
        <v>4</v>
      </c>
      <c r="H8" s="3"/>
    </row>
    <row r="9" spans="1:8" ht="38.25" x14ac:dyDescent="0.25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30</v>
      </c>
      <c r="G9" s="7" t="s">
        <v>4</v>
      </c>
      <c r="H9" s="3"/>
    </row>
    <row r="10" spans="1:8" ht="38.25" x14ac:dyDescent="0.25">
      <c r="A10" s="3" t="s">
        <v>59</v>
      </c>
      <c r="B10" s="3" t="s">
        <v>60</v>
      </c>
      <c r="C10" s="3" t="s">
        <v>56</v>
      </c>
      <c r="D10" s="3" t="s">
        <v>57</v>
      </c>
      <c r="E10" s="3" t="s">
        <v>58</v>
      </c>
      <c r="F10" s="3" t="s">
        <v>30</v>
      </c>
      <c r="G10" s="7" t="s">
        <v>4</v>
      </c>
      <c r="H10" s="3"/>
    </row>
    <row r="11" spans="1:8" ht="38.25" x14ac:dyDescent="0.25">
      <c r="A11" s="3" t="s">
        <v>61</v>
      </c>
      <c r="B11" s="3" t="s">
        <v>62</v>
      </c>
      <c r="C11" s="3" t="s">
        <v>56</v>
      </c>
      <c r="D11" s="3" t="s">
        <v>57</v>
      </c>
      <c r="E11" s="3" t="s">
        <v>58</v>
      </c>
      <c r="F11" s="3" t="s">
        <v>30</v>
      </c>
      <c r="G11" s="7" t="s">
        <v>4</v>
      </c>
      <c r="H11" s="3"/>
    </row>
    <row r="12" spans="1:8" ht="38.25" x14ac:dyDescent="0.25">
      <c r="A12" s="3" t="s">
        <v>63</v>
      </c>
      <c r="B12" s="3" t="s">
        <v>64</v>
      </c>
      <c r="C12" s="3" t="s">
        <v>56</v>
      </c>
      <c r="D12" s="3" t="s">
        <v>57</v>
      </c>
      <c r="E12" s="3" t="s">
        <v>58</v>
      </c>
      <c r="F12" s="3" t="s">
        <v>30</v>
      </c>
      <c r="G12" s="7" t="s">
        <v>4</v>
      </c>
      <c r="H12" s="3"/>
    </row>
    <row r="13" spans="1:8" ht="38.25" x14ac:dyDescent="0.25">
      <c r="A13" s="3" t="s">
        <v>65</v>
      </c>
      <c r="B13" s="3" t="s">
        <v>66</v>
      </c>
      <c r="C13" s="3" t="s">
        <v>56</v>
      </c>
      <c r="D13" s="3" t="s">
        <v>57</v>
      </c>
      <c r="E13" s="3" t="s">
        <v>58</v>
      </c>
      <c r="F13" s="3" t="s">
        <v>30</v>
      </c>
      <c r="G13" s="7" t="s">
        <v>4</v>
      </c>
      <c r="H13" s="3"/>
    </row>
    <row r="14" spans="1:8" ht="51" x14ac:dyDescent="0.2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30</v>
      </c>
      <c r="G14" s="7" t="s">
        <v>4</v>
      </c>
      <c r="H14" s="3"/>
    </row>
    <row r="15" spans="1:8" ht="51" x14ac:dyDescent="0.25">
      <c r="A15" s="3" t="s">
        <v>72</v>
      </c>
      <c r="B15" s="3" t="s">
        <v>73</v>
      </c>
      <c r="C15" s="3" t="s">
        <v>69</v>
      </c>
      <c r="D15" s="3" t="s">
        <v>70</v>
      </c>
      <c r="E15" s="3" t="s">
        <v>71</v>
      </c>
      <c r="F15" s="3" t="s">
        <v>30</v>
      </c>
      <c r="G15" s="7" t="s">
        <v>4</v>
      </c>
      <c r="H15" s="3"/>
    </row>
    <row r="16" spans="1:8" ht="51" x14ac:dyDescent="0.25">
      <c r="A16" s="3" t="s">
        <v>74</v>
      </c>
      <c r="B16" s="3" t="s">
        <v>75</v>
      </c>
      <c r="C16" s="3" t="s">
        <v>69</v>
      </c>
      <c r="D16" s="3" t="s">
        <v>70</v>
      </c>
      <c r="E16" s="3" t="s">
        <v>71</v>
      </c>
      <c r="F16" s="3" t="s">
        <v>30</v>
      </c>
      <c r="G16" s="7" t="s">
        <v>4</v>
      </c>
      <c r="H16" s="3"/>
    </row>
    <row r="17" spans="1:8" ht="63.75" x14ac:dyDescent="0.25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3" t="s">
        <v>81</v>
      </c>
      <c r="G17" s="7" t="s">
        <v>4</v>
      </c>
      <c r="H17" s="3"/>
    </row>
    <row r="18" spans="1:8" ht="63.75" x14ac:dyDescent="0.25">
      <c r="A18" s="3" t="s">
        <v>82</v>
      </c>
      <c r="B18" s="3" t="s">
        <v>83</v>
      </c>
      <c r="C18" s="3" t="s">
        <v>78</v>
      </c>
      <c r="D18" s="3" t="s">
        <v>79</v>
      </c>
      <c r="E18" s="3" t="s">
        <v>80</v>
      </c>
      <c r="F18" s="3" t="s">
        <v>81</v>
      </c>
      <c r="G18" s="7" t="s">
        <v>4</v>
      </c>
      <c r="H18" s="3"/>
    </row>
    <row r="19" spans="1:8" ht="25.5" x14ac:dyDescent="0.25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30</v>
      </c>
      <c r="G19" s="7" t="s">
        <v>4</v>
      </c>
      <c r="H19" s="3"/>
    </row>
    <row r="20" spans="1:8" ht="25.5" x14ac:dyDescent="0.25">
      <c r="A20" s="3" t="s">
        <v>89</v>
      </c>
      <c r="B20" s="3" t="s">
        <v>90</v>
      </c>
      <c r="C20" s="3" t="s">
        <v>86</v>
      </c>
      <c r="D20" s="3" t="s">
        <v>87</v>
      </c>
      <c r="E20" s="3" t="s">
        <v>88</v>
      </c>
      <c r="F20" s="3" t="s">
        <v>30</v>
      </c>
      <c r="G20" s="7" t="s">
        <v>4</v>
      </c>
      <c r="H20" s="3"/>
    </row>
    <row r="21" spans="1:8" ht="25.5" x14ac:dyDescent="0.25">
      <c r="A21" s="3" t="s">
        <v>91</v>
      </c>
      <c r="B21" s="3" t="s">
        <v>92</v>
      </c>
      <c r="C21" s="3" t="s">
        <v>86</v>
      </c>
      <c r="D21" s="3" t="s">
        <v>87</v>
      </c>
      <c r="E21" s="3" t="s">
        <v>88</v>
      </c>
      <c r="F21" s="3" t="s">
        <v>30</v>
      </c>
      <c r="G21" s="7" t="s">
        <v>4</v>
      </c>
      <c r="H21" s="3"/>
    </row>
    <row r="22" spans="1:8" ht="51" x14ac:dyDescent="0.25">
      <c r="A22" s="3" t="s">
        <v>93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81</v>
      </c>
      <c r="G22" s="7" t="s">
        <v>4</v>
      </c>
      <c r="H22" s="3"/>
    </row>
    <row r="23" spans="1:8" ht="51" x14ac:dyDescent="0.25">
      <c r="A23" s="3" t="s">
        <v>98</v>
      </c>
      <c r="B23" s="3" t="s">
        <v>99</v>
      </c>
      <c r="C23" s="3" t="s">
        <v>95</v>
      </c>
      <c r="D23" s="3" t="s">
        <v>96</v>
      </c>
      <c r="E23" s="3" t="s">
        <v>97</v>
      </c>
      <c r="F23" s="3" t="s">
        <v>81</v>
      </c>
      <c r="G23" s="7" t="s">
        <v>4</v>
      </c>
      <c r="H23" s="3"/>
    </row>
    <row r="24" spans="1:8" ht="38.25" x14ac:dyDescent="0.25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30</v>
      </c>
      <c r="G24" s="7" t="s">
        <v>4</v>
      </c>
      <c r="H24" s="3"/>
    </row>
    <row r="25" spans="1:8" ht="38.25" x14ac:dyDescent="0.25">
      <c r="A25" s="3" t="s">
        <v>105</v>
      </c>
      <c r="B25" s="3" t="s">
        <v>106</v>
      </c>
      <c r="C25" s="3" t="s">
        <v>102</v>
      </c>
      <c r="D25" s="3" t="s">
        <v>107</v>
      </c>
      <c r="E25" s="3" t="s">
        <v>104</v>
      </c>
      <c r="F25" s="3" t="s">
        <v>30</v>
      </c>
      <c r="G25" s="7" t="s">
        <v>4</v>
      </c>
      <c r="H25" s="3" t="s">
        <v>108</v>
      </c>
    </row>
    <row r="26" spans="1:8" ht="38.25" x14ac:dyDescent="0.25">
      <c r="A26" s="3" t="s">
        <v>109</v>
      </c>
      <c r="B26" s="3" t="s">
        <v>110</v>
      </c>
      <c r="C26" s="3" t="s">
        <v>102</v>
      </c>
      <c r="D26" s="3" t="s">
        <v>111</v>
      </c>
      <c r="E26" s="3" t="s">
        <v>104</v>
      </c>
      <c r="F26" s="3" t="s">
        <v>30</v>
      </c>
      <c r="G26" s="7" t="s">
        <v>4</v>
      </c>
      <c r="H26" s="3"/>
    </row>
    <row r="27" spans="1:8" ht="51" x14ac:dyDescent="0.25">
      <c r="A27" s="3" t="s">
        <v>112</v>
      </c>
      <c r="B27" s="3" t="s">
        <v>113</v>
      </c>
      <c r="C27" s="3" t="s">
        <v>114</v>
      </c>
      <c r="D27" s="3" t="s">
        <v>115</v>
      </c>
      <c r="E27" s="3" t="s">
        <v>116</v>
      </c>
      <c r="F27" s="3" t="s">
        <v>81</v>
      </c>
      <c r="G27" s="7" t="s">
        <v>4</v>
      </c>
      <c r="H27" s="3"/>
    </row>
    <row r="28" spans="1:8" ht="25.5" x14ac:dyDescent="0.25">
      <c r="A28" s="3" t="s">
        <v>117</v>
      </c>
      <c r="B28" s="3" t="s">
        <v>118</v>
      </c>
      <c r="C28" s="3" t="s">
        <v>114</v>
      </c>
      <c r="D28" s="3" t="s">
        <v>119</v>
      </c>
      <c r="E28" s="3" t="s">
        <v>116</v>
      </c>
      <c r="F28" s="3" t="s">
        <v>81</v>
      </c>
      <c r="G28" s="7" t="s">
        <v>4</v>
      </c>
      <c r="H28" s="3" t="s">
        <v>120</v>
      </c>
    </row>
    <row r="29" spans="1:8" ht="38.25" x14ac:dyDescent="0.25">
      <c r="A29" s="3" t="s">
        <v>121</v>
      </c>
      <c r="B29" s="3" t="s">
        <v>122</v>
      </c>
      <c r="C29" s="3" t="s">
        <v>123</v>
      </c>
      <c r="D29" s="3" t="s">
        <v>124</v>
      </c>
      <c r="E29" s="3" t="s">
        <v>125</v>
      </c>
      <c r="F29" s="3" t="s">
        <v>30</v>
      </c>
      <c r="G29" s="7" t="s">
        <v>4</v>
      </c>
      <c r="H29" s="3"/>
    </row>
    <row r="30" spans="1:8" ht="38.25" x14ac:dyDescent="0.25">
      <c r="A30" s="3" t="s">
        <v>126</v>
      </c>
      <c r="B30" s="3" t="s">
        <v>127</v>
      </c>
      <c r="C30" s="3" t="s">
        <v>123</v>
      </c>
      <c r="D30" s="3" t="s">
        <v>124</v>
      </c>
      <c r="E30" s="3" t="s">
        <v>125</v>
      </c>
      <c r="F30" s="3" t="s">
        <v>30</v>
      </c>
      <c r="G30" s="7" t="s">
        <v>4</v>
      </c>
      <c r="H30" s="3"/>
    </row>
    <row r="31" spans="1:8" ht="38.25" x14ac:dyDescent="0.25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132</v>
      </c>
      <c r="F31" s="3" t="s">
        <v>30</v>
      </c>
      <c r="G31" s="7" t="s">
        <v>4</v>
      </c>
      <c r="H31" s="3"/>
    </row>
    <row r="32" spans="1:8" ht="38.25" x14ac:dyDescent="0.25">
      <c r="A32" s="3" t="s">
        <v>133</v>
      </c>
      <c r="B32" s="3" t="s">
        <v>134</v>
      </c>
      <c r="C32" s="3" t="s">
        <v>130</v>
      </c>
      <c r="D32" s="3" t="s">
        <v>131</v>
      </c>
      <c r="E32" s="3" t="s">
        <v>132</v>
      </c>
      <c r="F32" s="3" t="s">
        <v>30</v>
      </c>
      <c r="G32" s="7" t="s">
        <v>4</v>
      </c>
      <c r="H32" s="3"/>
    </row>
    <row r="33" spans="1:8" ht="38.25" x14ac:dyDescent="0.25">
      <c r="A33" s="3" t="s">
        <v>135</v>
      </c>
      <c r="B33" s="3" t="s">
        <v>136</v>
      </c>
      <c r="C33" s="3" t="s">
        <v>130</v>
      </c>
      <c r="D33" s="3" t="s">
        <v>131</v>
      </c>
      <c r="E33" s="3" t="s">
        <v>132</v>
      </c>
      <c r="F33" s="3" t="s">
        <v>30</v>
      </c>
      <c r="G33" s="7" t="s">
        <v>4</v>
      </c>
      <c r="H33" s="3"/>
    </row>
    <row r="34" spans="1:8" ht="38.25" x14ac:dyDescent="0.25">
      <c r="A34" s="3" t="s">
        <v>137</v>
      </c>
      <c r="B34" s="3" t="s">
        <v>138</v>
      </c>
      <c r="C34" s="3" t="s">
        <v>130</v>
      </c>
      <c r="D34" s="3" t="s">
        <v>131</v>
      </c>
      <c r="E34" s="3" t="s">
        <v>132</v>
      </c>
      <c r="F34" s="3" t="s">
        <v>30</v>
      </c>
      <c r="G34" s="7" t="s">
        <v>4</v>
      </c>
      <c r="H34" s="3"/>
    </row>
    <row r="35" spans="1:8" ht="51" x14ac:dyDescent="0.25">
      <c r="A35" s="3" t="s">
        <v>139</v>
      </c>
      <c r="B35" s="3" t="s">
        <v>140</v>
      </c>
      <c r="C35" s="3" t="s">
        <v>141</v>
      </c>
      <c r="D35" s="3" t="s">
        <v>142</v>
      </c>
      <c r="E35" s="3" t="s">
        <v>143</v>
      </c>
      <c r="F35" s="3" t="s">
        <v>30</v>
      </c>
      <c r="G35" s="7" t="s">
        <v>4</v>
      </c>
      <c r="H35" s="3"/>
    </row>
    <row r="36" spans="1:8" ht="51" x14ac:dyDescent="0.25">
      <c r="A36" s="3" t="s">
        <v>144</v>
      </c>
      <c r="B36" s="3" t="s">
        <v>145</v>
      </c>
      <c r="C36" s="3" t="s">
        <v>141</v>
      </c>
      <c r="D36" s="3" t="s">
        <v>142</v>
      </c>
      <c r="E36" s="3" t="s">
        <v>143</v>
      </c>
      <c r="F36" s="3" t="s">
        <v>30</v>
      </c>
      <c r="G36" s="7" t="s">
        <v>4</v>
      </c>
      <c r="H36" s="3"/>
    </row>
    <row r="37" spans="1:8" ht="51" x14ac:dyDescent="0.25">
      <c r="A37" s="3" t="s">
        <v>146</v>
      </c>
      <c r="B37" s="3" t="s">
        <v>147</v>
      </c>
      <c r="C37" s="3" t="s">
        <v>141</v>
      </c>
      <c r="D37" s="3" t="s">
        <v>142</v>
      </c>
      <c r="E37" s="3" t="s">
        <v>143</v>
      </c>
      <c r="F37" s="3" t="s">
        <v>30</v>
      </c>
      <c r="G37" s="7" t="s">
        <v>4</v>
      </c>
      <c r="H37" s="3"/>
    </row>
    <row r="38" spans="1:8" ht="25.5" x14ac:dyDescent="0.25">
      <c r="A38" s="3" t="s">
        <v>148</v>
      </c>
      <c r="B38" s="3" t="s">
        <v>149</v>
      </c>
      <c r="C38" s="3" t="s">
        <v>150</v>
      </c>
      <c r="D38" s="3" t="s">
        <v>151</v>
      </c>
      <c r="E38" s="3" t="s">
        <v>152</v>
      </c>
      <c r="F38" s="3" t="s">
        <v>30</v>
      </c>
      <c r="G38" s="7" t="s">
        <v>4</v>
      </c>
      <c r="H38" s="3" t="s">
        <v>153</v>
      </c>
    </row>
    <row r="39" spans="1:8" ht="25.5" x14ac:dyDescent="0.25">
      <c r="A39" s="3" t="s">
        <v>154</v>
      </c>
      <c r="B39" s="3" t="s">
        <v>155</v>
      </c>
      <c r="C39" s="3" t="s">
        <v>150</v>
      </c>
      <c r="D39" s="3" t="s">
        <v>151</v>
      </c>
      <c r="E39" s="3" t="s">
        <v>152</v>
      </c>
      <c r="F39" s="3" t="s">
        <v>30</v>
      </c>
      <c r="G39" s="7" t="s">
        <v>4</v>
      </c>
      <c r="H39" s="3"/>
    </row>
    <row r="40" spans="1:8" ht="25.5" x14ac:dyDescent="0.25">
      <c r="A40" s="3" t="s">
        <v>156</v>
      </c>
      <c r="B40" s="3" t="s">
        <v>157</v>
      </c>
      <c r="C40" s="3" t="s">
        <v>158</v>
      </c>
      <c r="D40" s="3" t="s">
        <v>159</v>
      </c>
      <c r="E40" s="3" t="s">
        <v>160</v>
      </c>
      <c r="F40" s="3" t="s">
        <v>30</v>
      </c>
      <c r="G40" s="7" t="s">
        <v>4</v>
      </c>
      <c r="H40" s="3"/>
    </row>
    <row r="41" spans="1:8" ht="25.5" x14ac:dyDescent="0.25">
      <c r="A41" s="3" t="s">
        <v>161</v>
      </c>
      <c r="B41" s="3" t="s">
        <v>162</v>
      </c>
      <c r="C41" s="3" t="s">
        <v>158</v>
      </c>
      <c r="D41" s="3" t="s">
        <v>159</v>
      </c>
      <c r="E41" s="3" t="s">
        <v>160</v>
      </c>
      <c r="F41" s="3" t="s">
        <v>30</v>
      </c>
      <c r="G41" s="7" t="s">
        <v>4</v>
      </c>
      <c r="H41" s="3"/>
    </row>
    <row r="42" spans="1:8" ht="38.25" x14ac:dyDescent="0.25">
      <c r="A42" s="3" t="s">
        <v>163</v>
      </c>
      <c r="B42" s="3" t="s">
        <v>164</v>
      </c>
      <c r="C42" s="3" t="s">
        <v>165</v>
      </c>
      <c r="D42" s="3" t="s">
        <v>166</v>
      </c>
      <c r="E42" s="3" t="s">
        <v>167</v>
      </c>
      <c r="F42" s="3" t="s">
        <v>30</v>
      </c>
      <c r="G42" s="7" t="s">
        <v>4</v>
      </c>
      <c r="H42" s="3"/>
    </row>
    <row r="43" spans="1:8" ht="25.5" x14ac:dyDescent="0.25">
      <c r="A43" s="3" t="s">
        <v>168</v>
      </c>
      <c r="B43" s="3" t="s">
        <v>169</v>
      </c>
      <c r="C43" s="3" t="s">
        <v>165</v>
      </c>
      <c r="D43" s="3" t="s">
        <v>170</v>
      </c>
      <c r="E43" s="3" t="s">
        <v>167</v>
      </c>
      <c r="F43" s="3" t="s">
        <v>30</v>
      </c>
      <c r="G43" s="7" t="s">
        <v>4</v>
      </c>
      <c r="H43" s="3"/>
    </row>
    <row r="44" spans="1:8" ht="25.5" x14ac:dyDescent="0.25">
      <c r="A44" s="3" t="s">
        <v>171</v>
      </c>
      <c r="B44" s="3" t="s">
        <v>172</v>
      </c>
      <c r="C44" s="3" t="s">
        <v>173</v>
      </c>
      <c r="D44" s="3" t="s">
        <v>174</v>
      </c>
      <c r="E44" s="3" t="s">
        <v>175</v>
      </c>
      <c r="F44" s="3" t="s">
        <v>30</v>
      </c>
      <c r="G44" s="7" t="s">
        <v>4</v>
      </c>
      <c r="H44" s="3"/>
    </row>
    <row r="45" spans="1:8" ht="25.5" x14ac:dyDescent="0.25">
      <c r="A45" s="3" t="s">
        <v>176</v>
      </c>
      <c r="B45" s="3" t="s">
        <v>177</v>
      </c>
      <c r="C45" s="3" t="s">
        <v>173</v>
      </c>
      <c r="D45" s="3" t="s">
        <v>178</v>
      </c>
      <c r="E45" s="3" t="s">
        <v>175</v>
      </c>
      <c r="F45" s="3" t="s">
        <v>30</v>
      </c>
      <c r="G45" s="7" t="s">
        <v>4</v>
      </c>
      <c r="H45" s="3"/>
    </row>
    <row r="46" spans="1:8" ht="25.5" x14ac:dyDescent="0.25">
      <c r="A46" s="3" t="s">
        <v>179</v>
      </c>
      <c r="B46" s="3" t="s">
        <v>180</v>
      </c>
      <c r="C46" s="3" t="s">
        <v>173</v>
      </c>
      <c r="D46" s="3" t="s">
        <v>181</v>
      </c>
      <c r="E46" s="3" t="s">
        <v>175</v>
      </c>
      <c r="F46" s="3" t="s">
        <v>30</v>
      </c>
      <c r="G46" s="7" t="s">
        <v>4</v>
      </c>
      <c r="H46" s="3"/>
    </row>
    <row r="47" spans="1:8" ht="25.5" x14ac:dyDescent="0.25">
      <c r="A47" s="3" t="s">
        <v>182</v>
      </c>
      <c r="B47" s="3" t="s">
        <v>183</v>
      </c>
      <c r="C47" s="3" t="s">
        <v>184</v>
      </c>
      <c r="D47" s="3" t="s">
        <v>185</v>
      </c>
      <c r="E47" s="3" t="s">
        <v>186</v>
      </c>
      <c r="F47" s="3" t="s">
        <v>187</v>
      </c>
      <c r="G47" s="7" t="s">
        <v>4</v>
      </c>
      <c r="H47" s="3"/>
    </row>
    <row r="48" spans="1:8" ht="38.25" x14ac:dyDescent="0.25">
      <c r="A48" s="3" t="s">
        <v>188</v>
      </c>
      <c r="B48" s="3" t="s">
        <v>189</v>
      </c>
      <c r="C48" s="3" t="s">
        <v>184</v>
      </c>
      <c r="D48" s="3" t="s">
        <v>190</v>
      </c>
      <c r="E48" s="3" t="s">
        <v>186</v>
      </c>
      <c r="F48" s="3" t="s">
        <v>187</v>
      </c>
      <c r="G48" s="7" t="s">
        <v>4</v>
      </c>
      <c r="H48" s="3"/>
    </row>
    <row r="49" spans="1:8" ht="25.5" x14ac:dyDescent="0.25">
      <c r="A49" s="3" t="s">
        <v>191</v>
      </c>
      <c r="B49" s="3" t="s">
        <v>192</v>
      </c>
      <c r="C49" s="3" t="s">
        <v>193</v>
      </c>
      <c r="D49" s="3" t="s">
        <v>151</v>
      </c>
      <c r="E49" s="3" t="s">
        <v>194</v>
      </c>
      <c r="F49" s="3" t="s">
        <v>30</v>
      </c>
      <c r="G49" s="7" t="s">
        <v>4</v>
      </c>
      <c r="H49" s="3"/>
    </row>
    <row r="50" spans="1:8" ht="25.5" x14ac:dyDescent="0.25">
      <c r="A50" s="3" t="s">
        <v>195</v>
      </c>
      <c r="B50" s="3" t="s">
        <v>196</v>
      </c>
      <c r="C50" s="3" t="s">
        <v>193</v>
      </c>
      <c r="D50" s="3" t="s">
        <v>151</v>
      </c>
      <c r="E50" s="3" t="s">
        <v>194</v>
      </c>
      <c r="F50" s="3" t="s">
        <v>30</v>
      </c>
      <c r="G50" s="7" t="s">
        <v>4</v>
      </c>
      <c r="H50" s="3"/>
    </row>
    <row r="51" spans="1:8" ht="25.5" x14ac:dyDescent="0.25">
      <c r="A51" s="3" t="s">
        <v>197</v>
      </c>
      <c r="B51" s="3" t="s">
        <v>198</v>
      </c>
      <c r="C51" s="3" t="s">
        <v>199</v>
      </c>
      <c r="D51" s="3" t="s">
        <v>200</v>
      </c>
      <c r="E51" s="3" t="s">
        <v>201</v>
      </c>
      <c r="F51" s="3" t="s">
        <v>30</v>
      </c>
      <c r="G51" s="7" t="s">
        <v>4</v>
      </c>
      <c r="H51" s="3"/>
    </row>
    <row r="52" spans="1:8" ht="25.5" x14ac:dyDescent="0.25">
      <c r="A52" s="3" t="s">
        <v>202</v>
      </c>
      <c r="B52" s="3" t="s">
        <v>203</v>
      </c>
      <c r="C52" s="3" t="s">
        <v>199</v>
      </c>
      <c r="D52" s="3" t="s">
        <v>200</v>
      </c>
      <c r="E52" s="3" t="s">
        <v>201</v>
      </c>
      <c r="F52" s="3" t="s">
        <v>30</v>
      </c>
      <c r="G52" s="7" t="s">
        <v>4</v>
      </c>
      <c r="H52" s="3"/>
    </row>
    <row r="53" spans="1:8" ht="38.25" x14ac:dyDescent="0.25">
      <c r="A53" s="3" t="s">
        <v>204</v>
      </c>
      <c r="B53" s="3" t="s">
        <v>205</v>
      </c>
      <c r="C53" s="3" t="s">
        <v>206</v>
      </c>
      <c r="D53" s="3" t="s">
        <v>207</v>
      </c>
      <c r="E53" s="3" t="s">
        <v>208</v>
      </c>
      <c r="F53" s="3" t="s">
        <v>81</v>
      </c>
      <c r="G53" s="7" t="s">
        <v>4</v>
      </c>
      <c r="H53" s="3"/>
    </row>
    <row r="54" spans="1:8" ht="38.25" x14ac:dyDescent="0.25">
      <c r="A54" s="3" t="s">
        <v>209</v>
      </c>
      <c r="B54" s="3" t="s">
        <v>210</v>
      </c>
      <c r="C54" s="3" t="s">
        <v>206</v>
      </c>
      <c r="D54" s="3" t="s">
        <v>211</v>
      </c>
      <c r="E54" s="3" t="s">
        <v>208</v>
      </c>
      <c r="F54" s="3" t="s">
        <v>81</v>
      </c>
      <c r="G54" s="7" t="s">
        <v>4</v>
      </c>
      <c r="H54" s="3"/>
    </row>
    <row r="55" spans="1:8" ht="38.25" x14ac:dyDescent="0.25">
      <c r="A55" s="3" t="s">
        <v>212</v>
      </c>
      <c r="B55" s="3" t="s">
        <v>213</v>
      </c>
      <c r="C55" s="3" t="s">
        <v>214</v>
      </c>
      <c r="D55" s="3" t="s">
        <v>215</v>
      </c>
      <c r="E55" s="3" t="s">
        <v>216</v>
      </c>
      <c r="F55" s="3" t="s">
        <v>217</v>
      </c>
      <c r="G55" s="7" t="s">
        <v>4</v>
      </c>
      <c r="H55" s="3" t="s">
        <v>218</v>
      </c>
    </row>
    <row r="56" spans="1:8" ht="38.25" x14ac:dyDescent="0.25">
      <c r="A56" s="3" t="s">
        <v>219</v>
      </c>
      <c r="B56" s="3" t="s">
        <v>220</v>
      </c>
      <c r="C56" s="3" t="s">
        <v>221</v>
      </c>
      <c r="D56" s="3" t="s">
        <v>222</v>
      </c>
      <c r="E56" s="3" t="s">
        <v>223</v>
      </c>
      <c r="F56" s="3" t="s">
        <v>224</v>
      </c>
      <c r="G56" s="7" t="s">
        <v>4</v>
      </c>
      <c r="H56" s="3" t="s">
        <v>225</v>
      </c>
    </row>
  </sheetData>
  <autoFilter ref="A1:H56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30" customWidth="1"/>
    <col min="3" max="3" width="34" customWidth="1"/>
    <col min="4" max="4" width="20" customWidth="1"/>
    <col min="5" max="5" width="13" customWidth="1"/>
    <col min="6" max="6" width="60" customWidth="1"/>
  </cols>
  <sheetData>
    <row r="1" spans="1:6" ht="25.5" x14ac:dyDescent="0.25">
      <c r="A1" s="2" t="s">
        <v>226</v>
      </c>
      <c r="B1" s="2" t="s">
        <v>18</v>
      </c>
      <c r="C1" s="2" t="s">
        <v>21</v>
      </c>
      <c r="D1" s="2" t="s">
        <v>22</v>
      </c>
      <c r="E1" s="2" t="s">
        <v>23</v>
      </c>
      <c r="F1" s="2" t="s">
        <v>227</v>
      </c>
    </row>
    <row r="2" spans="1:6" ht="25.5" x14ac:dyDescent="0.25">
      <c r="A2" s="3" t="s">
        <v>228</v>
      </c>
      <c r="B2" s="3" t="s">
        <v>229</v>
      </c>
      <c r="C2" s="3" t="s">
        <v>208</v>
      </c>
      <c r="D2" s="3" t="s">
        <v>81</v>
      </c>
      <c r="E2" s="7" t="s">
        <v>4</v>
      </c>
      <c r="F2" s="3" t="s">
        <v>230</v>
      </c>
    </row>
    <row r="3" spans="1:6" ht="25.5" x14ac:dyDescent="0.25">
      <c r="A3" s="3" t="s">
        <v>231</v>
      </c>
      <c r="B3" s="3" t="s">
        <v>232</v>
      </c>
      <c r="C3" s="3" t="s">
        <v>233</v>
      </c>
      <c r="D3" s="3" t="s">
        <v>234</v>
      </c>
      <c r="E3" s="7" t="s">
        <v>4</v>
      </c>
      <c r="F3" s="3" t="s">
        <v>235</v>
      </c>
    </row>
    <row r="4" spans="1:6" ht="25.5" x14ac:dyDescent="0.25">
      <c r="A4" s="3" t="s">
        <v>236</v>
      </c>
      <c r="B4" s="3" t="s">
        <v>237</v>
      </c>
      <c r="C4" s="3" t="s">
        <v>238</v>
      </c>
      <c r="D4" s="3" t="s">
        <v>239</v>
      </c>
      <c r="E4" s="7" t="s">
        <v>4</v>
      </c>
      <c r="F4" s="3" t="s">
        <v>240</v>
      </c>
    </row>
    <row r="5" spans="1:6" ht="25.5" x14ac:dyDescent="0.25">
      <c r="A5" s="3" t="s">
        <v>241</v>
      </c>
      <c r="B5" s="3" t="s">
        <v>242</v>
      </c>
      <c r="C5" s="3" t="s">
        <v>243</v>
      </c>
      <c r="D5" s="3" t="s">
        <v>234</v>
      </c>
      <c r="E5" s="7" t="s">
        <v>4</v>
      </c>
      <c r="F5" s="3" t="s">
        <v>244</v>
      </c>
    </row>
    <row r="6" spans="1:6" ht="25.5" x14ac:dyDescent="0.25">
      <c r="A6" s="3" t="s">
        <v>245</v>
      </c>
      <c r="B6" s="3" t="s">
        <v>246</v>
      </c>
      <c r="C6" s="3" t="s">
        <v>247</v>
      </c>
      <c r="D6" s="3" t="s">
        <v>248</v>
      </c>
      <c r="E6" s="7" t="s">
        <v>4</v>
      </c>
      <c r="F6" s="3" t="s">
        <v>249</v>
      </c>
    </row>
    <row r="7" spans="1:6" ht="25.5" x14ac:dyDescent="0.25">
      <c r="A7" s="3" t="s">
        <v>250</v>
      </c>
      <c r="B7" s="3" t="s">
        <v>251</v>
      </c>
      <c r="C7" s="3" t="s">
        <v>252</v>
      </c>
      <c r="D7" s="3" t="s">
        <v>224</v>
      </c>
      <c r="E7" s="7" t="s">
        <v>4</v>
      </c>
      <c r="F7" s="3" t="s">
        <v>253</v>
      </c>
    </row>
    <row r="8" spans="1:6" ht="25.5" x14ac:dyDescent="0.25">
      <c r="A8" s="3" t="s">
        <v>254</v>
      </c>
      <c r="B8" s="3" t="s">
        <v>255</v>
      </c>
      <c r="C8" s="3" t="s">
        <v>256</v>
      </c>
      <c r="D8" s="3" t="s">
        <v>224</v>
      </c>
      <c r="E8" s="7" t="s">
        <v>4</v>
      </c>
      <c r="F8" s="3" t="s">
        <v>257</v>
      </c>
    </row>
    <row r="9" spans="1:6" ht="25.5" x14ac:dyDescent="0.25">
      <c r="A9" s="3" t="s">
        <v>258</v>
      </c>
      <c r="B9" s="3" t="s">
        <v>259</v>
      </c>
      <c r="C9" s="3" t="s">
        <v>260</v>
      </c>
      <c r="D9" s="3" t="s">
        <v>261</v>
      </c>
      <c r="E9" s="7" t="s">
        <v>4</v>
      </c>
      <c r="F9" s="3" t="s">
        <v>262</v>
      </c>
    </row>
    <row r="10" spans="1:6" ht="25.5" x14ac:dyDescent="0.25">
      <c r="A10" s="3" t="s">
        <v>263</v>
      </c>
      <c r="B10" s="3" t="s">
        <v>264</v>
      </c>
      <c r="C10" s="3" t="s">
        <v>265</v>
      </c>
      <c r="D10" s="3" t="s">
        <v>266</v>
      </c>
      <c r="E10" s="7" t="s">
        <v>4</v>
      </c>
      <c r="F10" s="3" t="s">
        <v>267</v>
      </c>
    </row>
    <row r="11" spans="1:6" ht="25.5" x14ac:dyDescent="0.25">
      <c r="A11" s="3" t="s">
        <v>268</v>
      </c>
      <c r="B11" s="3" t="s">
        <v>269</v>
      </c>
      <c r="C11" s="3" t="s">
        <v>270</v>
      </c>
      <c r="D11" s="3" t="s">
        <v>271</v>
      </c>
      <c r="E11" s="7" t="s">
        <v>4</v>
      </c>
      <c r="F11" s="3" t="s">
        <v>272</v>
      </c>
    </row>
    <row r="12" spans="1:6" ht="25.5" x14ac:dyDescent="0.25">
      <c r="A12" s="3" t="s">
        <v>273</v>
      </c>
      <c r="B12" s="3" t="s">
        <v>274</v>
      </c>
      <c r="C12" s="3" t="s">
        <v>71</v>
      </c>
      <c r="D12" s="3" t="s">
        <v>30</v>
      </c>
      <c r="E12" s="7" t="s">
        <v>4</v>
      </c>
      <c r="F12" s="3" t="s">
        <v>275</v>
      </c>
    </row>
    <row r="13" spans="1:6" ht="38.25" x14ac:dyDescent="0.25">
      <c r="A13" s="3" t="s">
        <v>276</v>
      </c>
      <c r="B13" s="3" t="s">
        <v>277</v>
      </c>
      <c r="C13" s="3" t="s">
        <v>278</v>
      </c>
      <c r="D13" s="3" t="s">
        <v>266</v>
      </c>
      <c r="E13" s="8" t="s">
        <v>5</v>
      </c>
      <c r="F13" s="3" t="s">
        <v>12</v>
      </c>
    </row>
    <row r="14" spans="1:6" ht="25.5" x14ac:dyDescent="0.25">
      <c r="A14" s="3" t="s">
        <v>279</v>
      </c>
      <c r="B14" s="3" t="s">
        <v>280</v>
      </c>
      <c r="C14" s="3" t="s">
        <v>281</v>
      </c>
      <c r="D14" s="3" t="s">
        <v>271</v>
      </c>
      <c r="E14" s="7" t="s">
        <v>4</v>
      </c>
      <c r="F14" s="3" t="s">
        <v>282</v>
      </c>
    </row>
    <row r="15" spans="1:6" ht="25.5" x14ac:dyDescent="0.25">
      <c r="A15" s="3" t="s">
        <v>283</v>
      </c>
      <c r="B15" s="3" t="s">
        <v>284</v>
      </c>
      <c r="C15" s="3" t="s">
        <v>285</v>
      </c>
      <c r="D15" s="3" t="s">
        <v>266</v>
      </c>
      <c r="E15" s="7" t="s">
        <v>4</v>
      </c>
      <c r="F15" s="3" t="s">
        <v>286</v>
      </c>
    </row>
    <row r="16" spans="1:6" ht="38.25" x14ac:dyDescent="0.25">
      <c r="A16" s="3" t="s">
        <v>287</v>
      </c>
      <c r="B16" s="3" t="s">
        <v>288</v>
      </c>
      <c r="C16" s="3" t="s">
        <v>289</v>
      </c>
      <c r="D16" s="3" t="s">
        <v>290</v>
      </c>
      <c r="E16" s="8" t="s">
        <v>5</v>
      </c>
      <c r="F16" s="3" t="s">
        <v>14</v>
      </c>
    </row>
    <row r="17" spans="1:6" ht="25.5" x14ac:dyDescent="0.25">
      <c r="A17" s="3" t="s">
        <v>291</v>
      </c>
      <c r="B17" s="3" t="s">
        <v>292</v>
      </c>
      <c r="C17" s="3" t="s">
        <v>293</v>
      </c>
      <c r="D17" s="3" t="s">
        <v>234</v>
      </c>
      <c r="E17" s="7" t="s">
        <v>4</v>
      </c>
      <c r="F17" s="3" t="s">
        <v>294</v>
      </c>
    </row>
    <row r="18" spans="1:6" ht="25.5" x14ac:dyDescent="0.25">
      <c r="A18" s="3" t="s">
        <v>295</v>
      </c>
      <c r="B18" s="3" t="s">
        <v>296</v>
      </c>
      <c r="C18" s="3" t="s">
        <v>297</v>
      </c>
      <c r="D18" s="3" t="s">
        <v>234</v>
      </c>
      <c r="E18" s="7" t="s">
        <v>4</v>
      </c>
      <c r="F18" s="3" t="s">
        <v>298</v>
      </c>
    </row>
    <row r="19" spans="1:6" ht="25.5" x14ac:dyDescent="0.25">
      <c r="A19" s="3" t="s">
        <v>299</v>
      </c>
      <c r="B19" s="3" t="s">
        <v>300</v>
      </c>
      <c r="C19" s="3" t="s">
        <v>301</v>
      </c>
      <c r="D19" s="3" t="s">
        <v>187</v>
      </c>
      <c r="E19" s="7" t="s">
        <v>4</v>
      </c>
      <c r="F19" s="3" t="s">
        <v>302</v>
      </c>
    </row>
    <row r="20" spans="1:6" ht="25.5" x14ac:dyDescent="0.25">
      <c r="A20" s="3" t="s">
        <v>303</v>
      </c>
      <c r="B20" s="3" t="s">
        <v>304</v>
      </c>
      <c r="C20" s="3" t="s">
        <v>289</v>
      </c>
      <c r="D20" s="3" t="s">
        <v>290</v>
      </c>
      <c r="E20" s="7" t="s">
        <v>4</v>
      </c>
      <c r="F20" s="3" t="s">
        <v>305</v>
      </c>
    </row>
    <row r="21" spans="1:6" ht="25.5" x14ac:dyDescent="0.25">
      <c r="A21" s="3" t="s">
        <v>306</v>
      </c>
      <c r="B21" s="3" t="s">
        <v>307</v>
      </c>
      <c r="C21" s="3" t="s">
        <v>308</v>
      </c>
      <c r="D21" s="3" t="s">
        <v>30</v>
      </c>
      <c r="E21" s="7" t="s">
        <v>4</v>
      </c>
      <c r="F21" s="3" t="s">
        <v>309</v>
      </c>
    </row>
    <row r="22" spans="1:6" ht="25.5" x14ac:dyDescent="0.25">
      <c r="A22" s="3" t="s">
        <v>310</v>
      </c>
      <c r="B22" s="3" t="s">
        <v>311</v>
      </c>
      <c r="C22" s="3" t="s">
        <v>278</v>
      </c>
      <c r="D22" s="3" t="s">
        <v>266</v>
      </c>
      <c r="E22" s="7" t="s">
        <v>4</v>
      </c>
      <c r="F22" s="3" t="s">
        <v>312</v>
      </c>
    </row>
    <row r="23" spans="1:6" ht="25.5" x14ac:dyDescent="0.25">
      <c r="A23" s="3" t="s">
        <v>313</v>
      </c>
      <c r="B23" s="3" t="s">
        <v>314</v>
      </c>
      <c r="C23" s="3" t="s">
        <v>289</v>
      </c>
      <c r="D23" s="3" t="s">
        <v>290</v>
      </c>
      <c r="E23" s="7" t="s">
        <v>4</v>
      </c>
      <c r="F23" s="3" t="s">
        <v>315</v>
      </c>
    </row>
    <row r="24" spans="1:6" ht="25.5" x14ac:dyDescent="0.25">
      <c r="A24" s="3" t="s">
        <v>316</v>
      </c>
      <c r="B24" s="3" t="s">
        <v>317</v>
      </c>
      <c r="C24" s="3" t="s">
        <v>318</v>
      </c>
      <c r="D24" s="3" t="s">
        <v>266</v>
      </c>
      <c r="E24" s="7" t="s">
        <v>4</v>
      </c>
      <c r="F24" s="3" t="s">
        <v>319</v>
      </c>
    </row>
    <row r="25" spans="1:6" ht="25.5" x14ac:dyDescent="0.25">
      <c r="A25" s="3" t="s">
        <v>320</v>
      </c>
      <c r="B25" s="3" t="s">
        <v>321</v>
      </c>
      <c r="C25" s="3" t="s">
        <v>322</v>
      </c>
      <c r="D25" s="3" t="s">
        <v>234</v>
      </c>
      <c r="E25" s="7" t="s">
        <v>4</v>
      </c>
      <c r="F25" s="3" t="s">
        <v>323</v>
      </c>
    </row>
    <row r="26" spans="1:6" ht="25.5" x14ac:dyDescent="0.25">
      <c r="A26" s="3" t="s">
        <v>324</v>
      </c>
      <c r="B26" s="3" t="s">
        <v>325</v>
      </c>
      <c r="C26" s="3" t="s">
        <v>289</v>
      </c>
      <c r="D26" s="3" t="s">
        <v>290</v>
      </c>
      <c r="E26" s="8" t="s">
        <v>5</v>
      </c>
      <c r="F26" s="3" t="s">
        <v>16</v>
      </c>
    </row>
    <row r="27" spans="1:6" ht="25.5" x14ac:dyDescent="0.25">
      <c r="A27" s="3" t="s">
        <v>326</v>
      </c>
      <c r="B27" s="3" t="s">
        <v>327</v>
      </c>
      <c r="C27" s="3" t="s">
        <v>328</v>
      </c>
      <c r="D27" s="3" t="s">
        <v>187</v>
      </c>
      <c r="E27" s="7" t="s">
        <v>4</v>
      </c>
      <c r="F27" s="3" t="s">
        <v>329</v>
      </c>
    </row>
    <row r="28" spans="1:6" ht="25.5" x14ac:dyDescent="0.25">
      <c r="A28" s="3" t="s">
        <v>330</v>
      </c>
      <c r="B28" s="3" t="s">
        <v>331</v>
      </c>
      <c r="C28" s="3" t="s">
        <v>332</v>
      </c>
      <c r="D28" s="3" t="s">
        <v>266</v>
      </c>
      <c r="E28" s="7" t="s">
        <v>4</v>
      </c>
      <c r="F28" s="3" t="s">
        <v>333</v>
      </c>
    </row>
    <row r="29" spans="1:6" x14ac:dyDescent="0.25">
      <c r="A29" s="3" t="s">
        <v>334</v>
      </c>
      <c r="B29" s="3" t="s">
        <v>335</v>
      </c>
      <c r="C29" s="3" t="s">
        <v>289</v>
      </c>
      <c r="D29" s="3" t="s">
        <v>290</v>
      </c>
      <c r="E29" s="7" t="s">
        <v>4</v>
      </c>
      <c r="F29" s="3" t="s">
        <v>336</v>
      </c>
    </row>
    <row r="30" spans="1:6" ht="25.5" x14ac:dyDescent="0.25">
      <c r="A30" s="3" t="s">
        <v>337</v>
      </c>
      <c r="B30" s="3" t="s">
        <v>338</v>
      </c>
      <c r="C30" s="3" t="s">
        <v>339</v>
      </c>
      <c r="D30" s="3" t="s">
        <v>224</v>
      </c>
      <c r="E30" s="7" t="s">
        <v>4</v>
      </c>
      <c r="F30" s="3" t="s">
        <v>340</v>
      </c>
    </row>
    <row r="31" spans="1:6" ht="25.5" x14ac:dyDescent="0.25">
      <c r="A31" s="3" t="s">
        <v>341</v>
      </c>
      <c r="B31" s="3" t="s">
        <v>342</v>
      </c>
      <c r="C31" s="3" t="s">
        <v>343</v>
      </c>
      <c r="D31" s="3" t="s">
        <v>234</v>
      </c>
      <c r="E31" s="7" t="s">
        <v>4</v>
      </c>
      <c r="F31" s="3" t="s">
        <v>344</v>
      </c>
    </row>
  </sheetData>
  <autoFilter ref="A1:F31" xr:uid="{00000000-0009-0000-0000-000002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RF</vt:lpstr>
      <vt:lpstr>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Ortiz</cp:lastModifiedBy>
  <dcterms:created xsi:type="dcterms:W3CDTF">2026-10-29T16:25:50Z</dcterms:created>
  <dcterms:modified xsi:type="dcterms:W3CDTF">2026-10-29T16:26:06Z</dcterms:modified>
</cp:coreProperties>
</file>