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ofia\AppData\Local\Temp\claude\c--Users-sofia-OneDrive-Escritorio-Blockchain-Contratos\536b5854-6e74-4928-89b2-83d80b282f91\scratchpad\pps\"/>
    </mc:Choice>
  </mc:AlternateContent>
  <xr:revisionPtr revIDLastSave="0" documentId="13_ncr:1_{4BD0D5B0-AF09-40A3-A893-C2028AA0D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da" sheetId="1" r:id="rId1"/>
    <sheet name="Resumen y métricas" sheetId="2" r:id="rId2"/>
    <sheet name="Casos de prueba" sheetId="3" r:id="rId3"/>
    <sheet name="Defectos" sheetId="4" r:id="rId4"/>
    <sheet name="Trazabilidad" sheetId="5" r:id="rId5"/>
    <sheet name="QA Proceso" sheetId="6" r:id="rId6"/>
    <sheet name="QC Producto" sheetId="7" r:id="rId7"/>
    <sheet name="Bitácora" sheetId="8" r:id="rId8"/>
    <sheet name="Listas" sheetId="9" state="hidden" r:id="rId9"/>
  </sheets>
  <definedNames>
    <definedName name="_xlnm._FilterDatabase" localSheetId="2" hidden="1">'Casos de prueba'!$A$4:$Z$66</definedName>
    <definedName name="_xlnm._FilterDatabase" localSheetId="3" hidden="1">Defectos!$A$4:$R$40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8" l="1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D41" i="7"/>
  <c r="C31" i="6"/>
  <c r="J34" i="5"/>
  <c r="I34" i="5"/>
  <c r="H34" i="5"/>
  <c r="G34" i="5"/>
  <c r="F34" i="5"/>
  <c r="J33" i="5"/>
  <c r="I33" i="5"/>
  <c r="H33" i="5"/>
  <c r="G33" i="5"/>
  <c r="F33" i="5"/>
  <c r="J32" i="5"/>
  <c r="I32" i="5"/>
  <c r="H32" i="5"/>
  <c r="G32" i="5"/>
  <c r="F32" i="5"/>
  <c r="J31" i="5"/>
  <c r="I31" i="5"/>
  <c r="H31" i="5"/>
  <c r="G31" i="5"/>
  <c r="F31" i="5"/>
  <c r="J30" i="5"/>
  <c r="I30" i="5"/>
  <c r="H30" i="5"/>
  <c r="G30" i="5"/>
  <c r="F30" i="5"/>
  <c r="J29" i="5"/>
  <c r="I29" i="5"/>
  <c r="H29" i="5"/>
  <c r="G29" i="5"/>
  <c r="F29" i="5"/>
  <c r="J28" i="5"/>
  <c r="I28" i="5"/>
  <c r="H28" i="5"/>
  <c r="G28" i="5"/>
  <c r="F28" i="5"/>
  <c r="L28" i="5" s="1"/>
  <c r="J27" i="5"/>
  <c r="I27" i="5"/>
  <c r="H27" i="5"/>
  <c r="G27" i="5"/>
  <c r="F27" i="5"/>
  <c r="J26" i="5"/>
  <c r="I26" i="5"/>
  <c r="H26" i="5"/>
  <c r="G26" i="5"/>
  <c r="F26" i="5"/>
  <c r="J25" i="5"/>
  <c r="I25" i="5"/>
  <c r="H25" i="5"/>
  <c r="G25" i="5"/>
  <c r="F25" i="5"/>
  <c r="J24" i="5"/>
  <c r="I24" i="5"/>
  <c r="H24" i="5"/>
  <c r="G24" i="5"/>
  <c r="F24" i="5"/>
  <c r="J23" i="5"/>
  <c r="I23" i="5"/>
  <c r="H23" i="5"/>
  <c r="G23" i="5"/>
  <c r="F23" i="5"/>
  <c r="J22" i="5"/>
  <c r="I22" i="5"/>
  <c r="H22" i="5"/>
  <c r="G22" i="5"/>
  <c r="F22" i="5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L17" i="5" s="1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11" i="5"/>
  <c r="I11" i="5"/>
  <c r="H11" i="5"/>
  <c r="G11" i="5"/>
  <c r="F11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6" i="5"/>
  <c r="I6" i="5"/>
  <c r="H6" i="5"/>
  <c r="G6" i="5"/>
  <c r="F6" i="5"/>
  <c r="J5" i="5"/>
  <c r="I5" i="5"/>
  <c r="H5" i="5"/>
  <c r="G5" i="5"/>
  <c r="F5" i="5"/>
  <c r="B40" i="2"/>
  <c r="B39" i="2"/>
  <c r="E36" i="2"/>
  <c r="D36" i="2"/>
  <c r="C36" i="2"/>
  <c r="B36" i="2"/>
  <c r="F36" i="2" s="1"/>
  <c r="E35" i="2"/>
  <c r="D35" i="2"/>
  <c r="C35" i="2"/>
  <c r="B35" i="2"/>
  <c r="F35" i="2" s="1"/>
  <c r="E34" i="2"/>
  <c r="D34" i="2"/>
  <c r="C34" i="2"/>
  <c r="B34" i="2"/>
  <c r="F34" i="2" s="1"/>
  <c r="E33" i="2"/>
  <c r="D33" i="2"/>
  <c r="C33" i="2"/>
  <c r="B33" i="2"/>
  <c r="F33" i="2" s="1"/>
  <c r="E32" i="2"/>
  <c r="D32" i="2"/>
  <c r="C32" i="2"/>
  <c r="B32" i="2"/>
  <c r="F32" i="2" s="1"/>
  <c r="E31" i="2"/>
  <c r="D31" i="2"/>
  <c r="C31" i="2"/>
  <c r="B31" i="2"/>
  <c r="D26" i="2"/>
  <c r="C26" i="2"/>
  <c r="B26" i="2"/>
  <c r="D25" i="2"/>
  <c r="C25" i="2"/>
  <c r="B25" i="2"/>
  <c r="D24" i="2"/>
  <c r="C24" i="2"/>
  <c r="B24" i="2"/>
  <c r="D23" i="2"/>
  <c r="E23" i="2" s="1"/>
  <c r="C23" i="2"/>
  <c r="B23" i="2"/>
  <c r="B28" i="2" s="1"/>
  <c r="E20" i="2"/>
  <c r="E19" i="2"/>
  <c r="E18" i="2"/>
  <c r="E17" i="2"/>
  <c r="E15" i="2"/>
  <c r="C15" i="2"/>
  <c r="C16" i="2" s="1"/>
  <c r="B15" i="2"/>
  <c r="B16" i="2" s="1"/>
  <c r="C9" i="2"/>
  <c r="B9" i="2"/>
  <c r="C8" i="2"/>
  <c r="B8" i="2"/>
  <c r="C7" i="2"/>
  <c r="B7" i="2"/>
  <c r="C6" i="2"/>
  <c r="C10" i="2" s="1"/>
  <c r="C12" i="2" s="1"/>
  <c r="B6" i="2"/>
  <c r="B10" i="2" s="1"/>
  <c r="B12" i="2" s="1"/>
  <c r="C5" i="2"/>
  <c r="B5" i="2"/>
  <c r="F31" i="2" l="1"/>
  <c r="G35" i="5"/>
  <c r="B27" i="2"/>
  <c r="C11" i="2"/>
  <c r="B11" i="2"/>
  <c r="M17" i="5"/>
  <c r="K17" i="5"/>
  <c r="E25" i="2"/>
  <c r="C27" i="2"/>
  <c r="M6" i="5"/>
  <c r="K6" i="5"/>
  <c r="L6" i="5"/>
  <c r="E26" i="2"/>
  <c r="K24" i="5"/>
  <c r="M24" i="5"/>
  <c r="L24" i="5"/>
  <c r="M13" i="5"/>
  <c r="L13" i="5"/>
  <c r="K13" i="5"/>
  <c r="K34" i="5"/>
  <c r="L34" i="5"/>
  <c r="M34" i="5"/>
  <c r="M33" i="5"/>
  <c r="K33" i="5"/>
  <c r="L33" i="5"/>
  <c r="K32" i="5"/>
  <c r="L32" i="5"/>
  <c r="M32" i="5"/>
  <c r="M31" i="5"/>
  <c r="L31" i="5"/>
  <c r="K31" i="5"/>
  <c r="K30" i="5"/>
  <c r="L30" i="5"/>
  <c r="M30" i="5"/>
  <c r="M29" i="5"/>
  <c r="K29" i="5"/>
  <c r="L29" i="5"/>
  <c r="M28" i="5"/>
  <c r="K28" i="5"/>
  <c r="M27" i="5"/>
  <c r="L27" i="5"/>
  <c r="K27" i="5"/>
  <c r="K26" i="5"/>
  <c r="M26" i="5"/>
  <c r="L26" i="5"/>
  <c r="M25" i="5"/>
  <c r="L25" i="5"/>
  <c r="K25" i="5"/>
  <c r="M23" i="5"/>
  <c r="L23" i="5"/>
  <c r="K23" i="5"/>
  <c r="K22" i="5"/>
  <c r="M22" i="5"/>
  <c r="L22" i="5"/>
  <c r="F35" i="5"/>
  <c r="J35" i="5"/>
  <c r="M21" i="5"/>
  <c r="K21" i="5"/>
  <c r="I35" i="5"/>
  <c r="L21" i="5"/>
  <c r="H35" i="5"/>
  <c r="M20" i="5"/>
  <c r="L20" i="5"/>
  <c r="K20" i="5"/>
  <c r="M19" i="5"/>
  <c r="L19" i="5"/>
  <c r="K19" i="5"/>
  <c r="M18" i="5"/>
  <c r="L18" i="5"/>
  <c r="K18" i="5"/>
  <c r="K16" i="5"/>
  <c r="L16" i="5"/>
  <c r="M16" i="5"/>
  <c r="K15" i="5"/>
  <c r="M15" i="5"/>
  <c r="L15" i="5"/>
  <c r="L14" i="5"/>
  <c r="K14" i="5"/>
  <c r="M14" i="5"/>
  <c r="K12" i="5"/>
  <c r="L12" i="5"/>
  <c r="M12" i="5"/>
  <c r="L11" i="5"/>
  <c r="K11" i="5"/>
  <c r="M11" i="5"/>
  <c r="K10" i="5"/>
  <c r="M10" i="5"/>
  <c r="L10" i="5"/>
  <c r="M9" i="5"/>
  <c r="L9" i="5"/>
  <c r="K9" i="5"/>
  <c r="M8" i="5"/>
  <c r="L8" i="5"/>
  <c r="K8" i="5"/>
  <c r="M7" i="5"/>
  <c r="L7" i="5"/>
  <c r="K7" i="5"/>
  <c r="M5" i="5"/>
  <c r="L5" i="5"/>
  <c r="K5" i="5"/>
  <c r="E24" i="2"/>
  <c r="D27" i="2"/>
  <c r="E27" i="2" s="1"/>
  <c r="K35" i="5" l="1"/>
  <c r="M35" i="5"/>
  <c r="B41" i="2" s="1"/>
  <c r="L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</author>
  </authors>
  <commentList>
    <comment ref="B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Ensayo local del 25/10/2026: docs/evidencias/integridad-mutacion.md</t>
        </r>
      </text>
    </comment>
    <comment ref="B1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Medición oficial del 27/10/2026, Docker local (tests/perf).</t>
        </r>
      </text>
    </comment>
  </commentList>
</comments>
</file>

<file path=xl/sharedStrings.xml><?xml version="1.0" encoding="utf-8"?>
<sst xmlns="http://schemas.openxmlformats.org/spreadsheetml/2006/main" count="2310" uniqueCount="1262">
  <si>
    <t>Pruebas de QA/QC · TrazaDoc</t>
  </si>
  <si>
    <t>Registro de aseguramiento (QA) y control (QC) de calidad del MVP, con la estructura de documentación de ISO/IEC/IEEE 29119-3</t>
  </si>
  <si>
    <t>Proyecto</t>
  </si>
  <si>
    <t>MVP de un sistema web para la verificación de integridad y trazabilidad documental en contratos laborales mediante blockchain permisionada (TrazaDoc).</t>
  </si>
  <si>
    <t>Versión del libro</t>
  </si>
  <si>
    <t>1.0 · 25 de octubre de 2026</t>
  </si>
  <si>
    <t>Autoras</t>
  </si>
  <si>
    <t>Laura Sofia Diaz Suarez (interfaz, usabilidad y documentación) · Sofia Ortiz Daza (backend, blockchain, infraestructura y pruebas técnicas)</t>
  </si>
  <si>
    <t>Dirección</t>
  </si>
  <si>
    <t>Director: Juan Carlos Navarro Beltrán · Codirectora: Solangie Paola Garavito Mendivelso</t>
  </si>
  <si>
    <t>Documento base</t>
  </si>
  <si>
    <t>Plan de Pruebas de Software (docs/Plan de Pruebas de Software - TrazaDoc.docx). Los casos de este libro son los mismos del Anexo A del plan.</t>
  </si>
  <si>
    <t>Entorno local (Ciclo 1)</t>
  </si>
  <si>
    <t>http://localhost:5173 · Windows 11, Docker Desktop · pruebas del 11 al 25 de octubre de 2026</t>
  </si>
  <si>
    <t>Entorno de validación (Ciclo 2)</t>
  </si>
  <si>
    <t>https://trazadoc-tesis.eastus2.cloudapp.azure.com · Azure, Ubuntu 24.04, VM Standard_B2s · pruebas del 25 al 29 de octubre de 2026</t>
  </si>
  <si>
    <t>¿Qué es QA?</t>
  </si>
  <si>
    <t>Aseguramiento de la calidad: revisa el PROCESO con el que se construye y prueba el sistema, para PREVENIR defectos (planes, revisiones, control de versiones, gestión de defectos). Hoja "QA Proceso".</t>
  </si>
  <si>
    <t>¿Qué es QC?</t>
  </si>
  <si>
    <t>Control de la calidad: revisa el PRODUCTO terminado, para DETECTAR defectos (ejecutar pruebas, medir, inspeccionar). Hojas "Casos de prueba" y "QC Producto". Las pruebas son una actividad de QC dentro del sistema de QA.</t>
  </si>
  <si>
    <t>Hojas del libro</t>
  </si>
  <si>
    <t>Resumen y métricas</t>
  </si>
  <si>
    <t>Indicadores calculados automáticamente: ejecución, % PASS, KPI del OE4 y defectos. No se edita: se actualiza solo.</t>
  </si>
  <si>
    <t>Casos de prueba</t>
  </si>
  <si>
    <t>62 casos (51 funcionales + 11 de integridad, trazabilidad y rendimiento) con su resultado en el Ciclo 1 (local) y columnas para el Ciclo 2 (Azure).</t>
  </si>
  <si>
    <t>Defectos</t>
  </si>
  <si>
    <t>Registro de defectos (incidentes) con severidad, prioridad, estado y responsable.</t>
  </si>
  <si>
    <t>Trazabilidad</t>
  </si>
  <si>
    <t>Matriz de cumplimiento: cada historia de usuario y requerimiento con sus casos y su estado (calculado).</t>
  </si>
  <si>
    <t>QA Proceso</t>
  </si>
  <si>
    <t>Lista de control del proceso de pruebas (25 criterios) con la evaluación actual y las acciones de mejora.</t>
  </si>
  <si>
    <t>QC Producto</t>
  </si>
  <si>
    <t>Lista de control del producto según las 9 características de calidad de ISO/IEC 25010:2023.</t>
  </si>
  <si>
    <t>Bitácora</t>
  </si>
  <si>
    <t>Registro cronológico de la ejecución (fecha, actividad, resultado e impacto).</t>
  </si>
  <si>
    <t>Cómo se llena</t>
  </si>
  <si>
    <t>Solo se escriben las celdas con fondo amarillo claro. Las columnas con lista desplegable aceptan únicamente los valores de la lista. Los totales y porcentajes se calculan solos.</t>
  </si>
  <si>
    <t>Estados de un caso</t>
  </si>
  <si>
    <t>PASS: el resultado obtenido es igual al esperado. FAIL: es distinto (se registra un defecto). Bloqueado: no se pudo ejecutar por una causa externa. No ejecutado: todavía no se ha corrido. N/A: no aplica en ese ciclo.</t>
  </si>
  <si>
    <t>Ejemplo de registro (Ciclo 2)</t>
  </si>
  <si>
    <t>Fecha: 26/10/2026 · Ejecutado por: Laura Sofia Diaz Suarez · Resultado obtenido: "Se pidió el código de 6 dígitos" · Estado: PASS · Evidencia: captura CP-01_azure.png · Defecto: (vacío)</t>
  </si>
  <si>
    <t>Referencias</t>
  </si>
  <si>
    <t>ISO/IEC/IEEE 29119-3</t>
  </si>
  <si>
    <t>Estructura de la documentación de pruebas: especificación de casos, registro de ejecución, informe de incidentes. https://en.wikipedia.org/wiki/ISO/IEC_29119</t>
  </si>
  <si>
    <t>ISO/IEC 25010:2023</t>
  </si>
  <si>
    <t>Modelo de calidad del producto (9 características). https://www.iso.org/standard/78176.html</t>
  </si>
  <si>
    <t>Plantilla de casos de prueba</t>
  </si>
  <si>
    <t>Campos mínimos de un caso de prueba en Excel. https://www.guru99.com/download-sample-test-case-template-with-explanation-of-important-fields.html</t>
  </si>
  <si>
    <t>QA vs QC</t>
  </si>
  <si>
    <t>Diferencia entre aseguramiento y control de calidad. https://synoptek.com/insights/it-blogs/qa-testing-vs-qc-testing-whats-the-difference/</t>
  </si>
  <si>
    <t>Métricas de prueba</t>
  </si>
  <si>
    <t>Fórmulas de % de ejecución y % PASS. https://www.accelq.com/blog/software-testing-metrics/</t>
  </si>
  <si>
    <t>← Así se ven las celdas que se deben llenar.</t>
  </si>
  <si>
    <t>Resumen de pruebas y métricas</t>
  </si>
  <si>
    <t>Se calcula solo a partir de las demás hojas. Las únicas celdas a llenar son las amarillas (mediciones que salen de los scripts).</t>
  </si>
  <si>
    <t>1. Ejecución de casos</t>
  </si>
  <si>
    <t>Ciclo 1 (local)</t>
  </si>
  <si>
    <t>Ciclo 2 (Azure)</t>
  </si>
  <si>
    <t>Casos planeados</t>
  </si>
  <si>
    <t>PASS</t>
  </si>
  <si>
    <t>FAIL</t>
  </si>
  <si>
    <t>Bloqueados</t>
  </si>
  <si>
    <t>No ejecutados</t>
  </si>
  <si>
    <t>Ejecutados (PASS + FAIL)</t>
  </si>
  <si>
    <t>% de ejecución = ejecutados / planeados</t>
  </si>
  <si>
    <t>% PASS = PASS / ejecutados</t>
  </si>
  <si>
    <t>2. Indicadores del OE4</t>
  </si>
  <si>
    <t>Meta</t>
  </si>
  <si>
    <t>Resultado ciclo 2</t>
  </si>
  <si>
    <t>Cómo se obtiene</t>
  </si>
  <si>
    <t>Casos funcionales en PASS (de 51)</t>
  </si>
  <si>
    <t>Conteo de la hoja Casos de prueba.</t>
  </si>
  <si>
    <t>% de casos funcionales en PASS</t>
  </si>
  <si>
    <t>≥ 90 %</t>
  </si>
  <si>
    <t>Meta del KPI de OE4: al menos 46 de 51.</t>
  </si>
  <si>
    <t>Alteraciones detectadas (de 20)</t>
  </si>
  <si>
    <t>Dato del informe de tests/integrity (línea "Detección").</t>
  </si>
  <si>
    <t>Falsos positivos (originales marcados como alterados)</t>
  </si>
  <si>
    <t>Dato del informe de tests/integrity.</t>
  </si>
  <si>
    <t>Latencia de verificación P95 (ms)</t>
  </si>
  <si>
    <t>Dato del informe de tests/perf (50 peticiones).</t>
  </si>
  <si>
    <t>Actividades del PPS cerradas en plazo (de 20)</t>
  </si>
  <si>
    <t>Conteo de la Tabla 15 del plan de pruebas (meta: 85 %).</t>
  </si>
  <si>
    <t>3. Defectos</t>
  </si>
  <si>
    <t>Abiertos</t>
  </si>
  <si>
    <t>Cerrados</t>
  </si>
  <si>
    <t>Total</t>
  </si>
  <si>
    <t>% cerrados</t>
  </si>
  <si>
    <t>Crítica</t>
  </si>
  <si>
    <t>Alta</t>
  </si>
  <si>
    <t>Media</t>
  </si>
  <si>
    <t>Baja</t>
  </si>
  <si>
    <t>¿Hay defectos críticos abiertos? (criterio de salida)</t>
  </si>
  <si>
    <t>4. Resultados por épica</t>
  </si>
  <si>
    <t>Casos</t>
  </si>
  <si>
    <t>PASS ciclo 1</t>
  </si>
  <si>
    <t>PASS ciclo 2</t>
  </si>
  <si>
    <t>FAIL ciclo 2</t>
  </si>
  <si>
    <t>% PASS ciclo 2</t>
  </si>
  <si>
    <t>EP-01 Autenticación y control de acceso</t>
  </si>
  <si>
    <t>EP-02 Registro y gestión documental (Empleado)</t>
  </si>
  <si>
    <t>EP-03 Verificación de integridad documental (Verificador)</t>
  </si>
  <si>
    <t>EP-04 Administración del sistema</t>
  </si>
  <si>
    <t>EP-05 Infraestructura y despliegue</t>
  </si>
  <si>
    <t>Transversal</t>
  </si>
  <si>
    <t>5. Estado de QA y QC</t>
  </si>
  <si>
    <t>Valor</t>
  </si>
  <si>
    <t>Nivel de cumplimiento del proceso (QA)</t>
  </si>
  <si>
    <t>Nivel de calidad del producto (QC, ISO/IEC 25010)</t>
  </si>
  <si>
    <t>Requerimientos que cumplen en el ciclo 2</t>
  </si>
  <si>
    <t>Especificación y ejecución de casos de prueba</t>
  </si>
  <si>
    <t>Un caso por escenario de aceptación (Dado / Cuando / Entonces). Ciclo 1 = entorno local (ya ejecutado). Ciclo 2 = Azure (celdas amarillas, por llenar).</t>
  </si>
  <si>
    <t>CICLO 1 · LOCAL (11 al 25/10/2026)</t>
  </si>
  <si>
    <t>CICLO 2 · AZURE (25 al 29/10/2026)</t>
  </si>
  <si>
    <t>ID</t>
  </si>
  <si>
    <t>Tipo de prueba</t>
  </si>
  <si>
    <t>Épica / módulo</t>
  </si>
  <si>
    <t>Historia o requerimiento</t>
  </si>
  <si>
    <t>Escenario</t>
  </si>
  <si>
    <t>Requerimientos (RF / RNF)</t>
  </si>
  <si>
    <t>Caso</t>
  </si>
  <si>
    <t>Prioridad</t>
  </si>
  <si>
    <t>Precondiciones</t>
  </si>
  <si>
    <t>Pasos</t>
  </si>
  <si>
    <t>Datos de prueba</t>
  </si>
  <si>
    <t>Resultado esperado</t>
  </si>
  <si>
    <t>Técnica de diseño</t>
  </si>
  <si>
    <t>Forma de ejecución</t>
  </si>
  <si>
    <t>Fecha</t>
  </si>
  <si>
    <t>Ejecutado por</t>
  </si>
  <si>
    <t>Resultado obtenido</t>
  </si>
  <si>
    <t>Estado</t>
  </si>
  <si>
    <t>Evidencia</t>
  </si>
  <si>
    <t>Defecto</t>
  </si>
  <si>
    <t>CP-01</t>
  </si>
  <si>
    <t>Funcional</t>
  </si>
  <si>
    <t>HU-001</t>
  </si>
  <si>
    <t>CA-01</t>
  </si>
  <si>
    <t>RF-001, RF-002, RNF-02</t>
  </si>
  <si>
    <t>Inicio de sesión con credenciales válidas</t>
  </si>
  <si>
    <t>El usuario está en la pantalla de inicio de sesión, sin sesión activa.</t>
  </si>
  <si>
    <t>Ingresar correo y contraseña válidos y pulsar Iniciar sesión.</t>
  </si>
  <si>
    <t>Usuario Empleado de prueba</t>
  </si>
  <si>
    <t>El sistema pide el código de verificación de 6 dígitos enviado al correo.</t>
  </si>
  <si>
    <t>Casos de uso</t>
  </si>
  <si>
    <t>Manual + automatizada (e2e)</t>
  </si>
  <si>
    <t>25/10/2026</t>
  </si>
  <si>
    <t>Sofia Ortiz Daza (asistida por Claude)</t>
  </si>
  <si>
    <t>Con correo y contraseña válidos se pidió el código de 6 dígitos.</t>
  </si>
  <si>
    <t>tests/e2e/e2e.sh, 47/47 pasos (25/10/2026); Recorrido en navegador con capturas (Figuras del plan de pruebas), Fig. 2 y 3</t>
  </si>
  <si>
    <t>No ejecutado</t>
  </si>
  <si>
    <t>CP-02</t>
  </si>
  <si>
    <t>CA-02</t>
  </si>
  <si>
    <t>Inicio de sesión con credenciales inválidas</t>
  </si>
  <si>
    <t>El usuario está en la pantalla de inicio de sesión.</t>
  </si>
  <si>
    <t>Ingresar un correo registrado con una contraseña errada y enviar.</t>
  </si>
  <si>
    <t>Contraseña: "clave-erronea"</t>
  </si>
  <si>
    <t>Mensaje "Credenciales inválidas." sin indicar cuál dato está mal. No se envía código.</t>
  </si>
  <si>
    <t>Partición de equivalencia</t>
  </si>
  <si>
    <t>HTTP 401 con el mensaje "Credenciales inválidas."; no se envió código.</t>
  </si>
  <si>
    <t>tests/e2e/e2e.sh, 47/47 pasos (25/10/2026); backend/tests/auth.login.test.ts</t>
  </si>
  <si>
    <t>CP-03</t>
  </si>
  <si>
    <t>HU-002</t>
  </si>
  <si>
    <t>RF-003 a RF-006, RNF-02, RNF-03</t>
  </si>
  <si>
    <t>Código de verificación válido</t>
  </si>
  <si>
    <t>El usuario recibió en su correo un código vigente (5 minutos).</t>
  </si>
  <si>
    <t>Escribir el código de 6 dígitos y pulsar Verificar código.</t>
  </si>
  <si>
    <t>Código recibido por correo</t>
  </si>
  <si>
    <t>El sistema abre el panel que corresponde al rol del usuario.</t>
  </si>
  <si>
    <t>Con el código válido se abrió el panel de cada rol (Empleado, Verificador y Administrador).</t>
  </si>
  <si>
    <t>Recorrido en navegador con capturas (Figuras del plan de pruebas), Fig. 4, 9 y 13; tests/e2e/e2e.sh, 47/47 pasos (25/10/2026)</t>
  </si>
  <si>
    <t>CP-04</t>
  </si>
  <si>
    <t>Acceso a un panel de otro rol</t>
  </si>
  <si>
    <t>El Empleado tiene una sesión activa. (El rol se toma de la cuenta: no hay selector de rol.)</t>
  </si>
  <si>
    <t>Escribir en la barra de direcciones la ruta del panel de Administrador.</t>
  </si>
  <si>
    <t>Ruta /administrador/dashboard</t>
  </si>
  <si>
    <t>El sistema no muestra el panel y devuelve al usuario al inicio de sesión. La API responde 403 a cualquier acción de otro rol.</t>
  </si>
  <si>
    <t>Tabla de decisión</t>
  </si>
  <si>
    <t>Evidencia parcial: la API responde 403 a acciones de otro rol (e2e). Falta comprobar la redirección en pantalla.</t>
  </si>
  <si>
    <t>CP-05</t>
  </si>
  <si>
    <t>HU-003</t>
  </si>
  <si>
    <t>RF-007, RNF-07</t>
  </si>
  <si>
    <t>Cierre de sesión</t>
  </si>
  <si>
    <t>El usuario tiene una sesión activa.</t>
  </si>
  <si>
    <t>Abrir el menú de usuario y elegir Cerrar sesión.</t>
  </si>
  <si>
    <t>Cualquier rol</t>
  </si>
  <si>
    <t>Se invalida la sesión en el servidor y aparece la pantalla de sesión cerrada.</t>
  </si>
  <si>
    <t>El cierre de sesión respondió 204 y eliminó la sesión.</t>
  </si>
  <si>
    <t>tests/e2e/e2e.sh, 47/47 pasos (25/10/2026). Pendiente ver la pantalla de sesión cerrada en el Ciclo 2.</t>
  </si>
  <si>
    <t>CP-06</t>
  </si>
  <si>
    <t>Acceso después de cerrar sesión</t>
  </si>
  <si>
    <t>El usuario cerró sesión.</t>
  </si>
  <si>
    <t>Intentar abrir de nuevo una pantalla protegida (por ejemplo, Mis documentos).</t>
  </si>
  <si>
    <t>Ruta /empleado/documentos</t>
  </si>
  <si>
    <t>El sistema redirige al inicio de sesión. El token anterior ya no sirve (401).</t>
  </si>
  <si>
    <t>Transición de estados</t>
  </si>
  <si>
    <t>El token de la sesión cerrada respondió 401.</t>
  </si>
  <si>
    <t>tests/e2e/e2e.sh, 47/47 pasos (25/10/2026). Pendiente ver la redirección en pantalla en el Ciclo 2.</t>
  </si>
  <si>
    <t>CP-07</t>
  </si>
  <si>
    <t>HU-004</t>
  </si>
  <si>
    <t>RF-052, RF-053, RNF-01</t>
  </si>
  <si>
    <t>Cambio de contraseña correcto</t>
  </si>
  <si>
    <t>El usuario tiene sesión activa y conoce su contraseña actual.</t>
  </si>
  <si>
    <t>Menú de usuario, Cambiar contraseña: escribir la actual y una nueva de 8 o más caracteres; confirmar.</t>
  </si>
  <si>
    <t>Nueva: "OtraClave123"</t>
  </si>
  <si>
    <t>Mensaje de éxito. La nueva contraseña queda guardada como hash con sal; el siguiente inicio de sesión funciona solo con la nueva.</t>
  </si>
  <si>
    <t>Valores límite (8 caracteres)</t>
  </si>
  <si>
    <t>Cambio aceptado (HTTP 200); después se usó la nueva contraseña como actual y también se aceptó.</t>
  </si>
  <si>
    <t>tests/e2e/e2e.sh, 47/47 pasos (25/10/2026); backend/tests/auth.changePassword.test.ts</t>
  </si>
  <si>
    <t>CP-08</t>
  </si>
  <si>
    <t>Cambio de contraseña con la actual errada</t>
  </si>
  <si>
    <t>El usuario tiene sesión activa.</t>
  </si>
  <si>
    <t>Escribir una contraseña actual incorrecta y una nueva válida; confirmar.</t>
  </si>
  <si>
    <t>Actual: "mala"</t>
  </si>
  <si>
    <t>Mensaje "La contraseña actual es incorrecta." y la contraseña no cambia.</t>
  </si>
  <si>
    <t>HTTP 400 con "La contraseña actual es incorrecta."; la contraseña no cambió.</t>
  </si>
  <si>
    <t>tests/e2e/e2e.sh, 47/47 pasos (25/10/2026)</t>
  </si>
  <si>
    <t>CP-09</t>
  </si>
  <si>
    <t>HU-022</t>
  </si>
  <si>
    <t>RF-054, RNF-06, RNF-07</t>
  </si>
  <si>
    <t>Bloqueo tras 5 intentos fallidos</t>
  </si>
  <si>
    <t>Una cuenta activa de prueba.</t>
  </si>
  <si>
    <t>Fallar la contraseña 5 veces seguidas y en el sexto intento usar la correcta.</t>
  </si>
  <si>
    <t>Usuario de prueba creado para el caso</t>
  </si>
  <si>
    <t>El sexto intento se rechaza con el mensaje de cuenta bloqueada temporalmente y los minutos que faltan.</t>
  </si>
  <si>
    <t>Valores límite (5 y 6 intentos)</t>
  </si>
  <si>
    <t>Tras 5 intentos fallidos, el sexto con la contraseña correcta respondió 423 (cuenta bloqueada).</t>
  </si>
  <si>
    <t>CP-10</t>
  </si>
  <si>
    <t>Desbloqueo pasados 15 minutos</t>
  </si>
  <si>
    <t>La cuenta del caso anterior está bloqueada.</t>
  </si>
  <si>
    <t>Esperar 15 minutos e iniciar sesión con la contraseña correcta.</t>
  </si>
  <si>
    <t>El mismo usuario de prueba</t>
  </si>
  <si>
    <t>El sistema continúa con el envío del código y el contador de intentos vuelve a cero.</t>
  </si>
  <si>
    <t>Valores límite (15 minutos)</t>
  </si>
  <si>
    <t>Manual</t>
  </si>
  <si>
    <t>Prueba unitaria: con el bloqueo vencido, el inicio de sesión continúa (HTTP 200). La espera real de 15 minutos queda para el Ciclo 2.</t>
  </si>
  <si>
    <t>backend/tests/auth.login.test.ts, "bloqueo ya vencido"</t>
  </si>
  <si>
    <t>CP-11</t>
  </si>
  <si>
    <t>CA-03</t>
  </si>
  <si>
    <t>Registro de intentos fallidos</t>
  </si>
  <si>
    <t>Un usuario escribe credenciales incorrectas.</t>
  </si>
  <si>
    <t>Enviar el formulario con una contraseña errada y revisar el registro de intentos.</t>
  </si>
  <si>
    <t>Contraseña errada</t>
  </si>
  <si>
    <t>Queda registrado el correo, la fecha, la hora y el motivo, sin guardar la contraseña. Pendiente de implementar (DEF-03).</t>
  </si>
  <si>
    <t>27/10/2026</t>
  </si>
  <si>
    <t>Re-prueba tras corregir DEF-03: cada intento fallido queda en login_attempts con correo, motivo y fecha, sin la contraseña; se borra a los 90 días.</t>
  </si>
  <si>
    <t>backend/tests/auth.login.test.ts; consulta a MongoDB del 27/10/2026</t>
  </si>
  <si>
    <t>DEF-03</t>
  </si>
  <si>
    <t>CP-12</t>
  </si>
  <si>
    <t>CA-04</t>
  </si>
  <si>
    <t>Cierre por inactividad</t>
  </si>
  <si>
    <t>No usar el sistema durante 15 minutos y luego intentar una acción.</t>
  </si>
  <si>
    <t>La sesión se cierra y el sistema exige iniciar sesión de nuevo.</t>
  </si>
  <si>
    <t>Manual + automatizada (unitaria)</t>
  </si>
  <si>
    <t>Prueba unitaria: una sesión con 16 minutos sin actividad responde 401 y se elimina.</t>
  </si>
  <si>
    <t>backend/tests/auth.middleware.test.ts</t>
  </si>
  <si>
    <t>CP-13</t>
  </si>
  <si>
    <t>HU-023</t>
  </si>
  <si>
    <t>RF-055, Ley 1581 de 2012</t>
  </si>
  <si>
    <t>Política de datos en el primer ingreso</t>
  </si>
  <si>
    <t>Un usuario inicia sesión por primera vez.</t>
  </si>
  <si>
    <t>Completar el inicio de sesión y el código.</t>
  </si>
  <si>
    <t>Usuario nuevo</t>
  </si>
  <si>
    <t>Se presenta la política de tratamiento de datos y no se habilita nada más hasta aceptarla. Pendiente de implementar (DEF-04).</t>
  </si>
  <si>
    <t>Re-prueba tras corregir DEF-04: en el primer ingreso aparece la política (versión 1.0) y el botón queda deshabilitado hasta marcar la casilla.</t>
  </si>
  <si>
    <t>docs/evidencias/politica-datos-primer-ingreso.jpg</t>
  </si>
  <si>
    <t>DEF-04</t>
  </si>
  <si>
    <t>CP-14</t>
  </si>
  <si>
    <t>Aceptación de la política</t>
  </si>
  <si>
    <t>El usuario ve la política de tratamiento de datos.</t>
  </si>
  <si>
    <t>Pulsar Aceptar.</t>
  </si>
  <si>
    <t>Se registra usuario, fecha, hora y versión aceptada, y se abre su panel. Pendiente de implementar (DEF-04).</t>
  </si>
  <si>
    <t>Al aceptar, se guarda usuario, fecha, hora y versión 1.0, y se abre el panel del rol.</t>
  </si>
  <si>
    <t>backend/tests/auth.policy.test.ts; registro en MongoDB del 27/10/2026</t>
  </si>
  <si>
    <t>CP-15</t>
  </si>
  <si>
    <t>Acceso sin aceptar la política</t>
  </si>
  <si>
    <t>El usuario no ha aceptado la política.</t>
  </si>
  <si>
    <t>Intentar abrir otra pantalla del sistema.</t>
  </si>
  <si>
    <t>El sistema lo impide y mantiene la solicitud de aceptación. Pendiente de implementar (DEF-04).</t>
  </si>
  <si>
    <t>Sin aceptar, toda ruta de negocio responde 403 POLICY_REQUIRED y la interfaz vuelve a la política.</t>
  </si>
  <si>
    <t>backend/tests/auth.policy.test.ts; prueba por API del 27/10/2026</t>
  </si>
  <si>
    <t>CP-16</t>
  </si>
  <si>
    <t>HU-005</t>
  </si>
  <si>
    <t>RF-008 a RF-012, RNF-23, RNF-24</t>
  </si>
  <si>
    <t>Carga de un PDF válido de 10 MB</t>
  </si>
  <si>
    <t>El Empleado está en Cargar documento.</t>
  </si>
  <si>
    <t>Seleccionar un PDF de 10 MB y pulsar Cargar y generar SHA-256.</t>
  </si>
  <si>
    <t>PDF sintético de 10 MB</t>
  </si>
  <si>
    <t>El archivo se acepta y continúa el registro.</t>
  </si>
  <si>
    <t>No se ha probado con un PDF de 10 MB.</t>
  </si>
  <si>
    <t>CP-17</t>
  </si>
  <si>
    <t>Rechazo de DOCX o PDF de 25 MB</t>
  </si>
  <si>
    <t>Intentar cargar un archivo .docx y luego un PDF de 25 MB.</t>
  </si>
  <si>
    <t>archivo.docx; PDF de 25 MB</t>
  </si>
  <si>
    <t>Ambos se rechazan con el motivo: solo PDF de hasta 20 MB.</t>
  </si>
  <si>
    <t>Valores límite (20 MB)</t>
  </si>
  <si>
    <t>Archivo que no es PDF: HTTP 400. PDF de 25 MB: HTTP 413 con "El archivo debe ser un único PDF de hasta 20MB."</t>
  </si>
  <si>
    <t>tests/e2e/e2e.sh, 47/47 pasos (25/10/2026); prueba del proxy nginx del 25/10/2026</t>
  </si>
  <si>
    <t>CP-18</t>
  </si>
  <si>
    <t>HU-006</t>
  </si>
  <si>
    <t>RF-013 a RF-015, RNF-11, RNF-13</t>
  </si>
  <si>
    <t>Metadatos y huella automáticos</t>
  </si>
  <si>
    <t>Un PDF superó las validaciones de carga.</t>
  </si>
  <si>
    <t>Completar la carga.</t>
  </si>
  <si>
    <t>C01 de los documentos de prueba</t>
  </si>
  <si>
    <t>Se muestran identificador, nombre, responsable, fecha y la huella SHA-256 (enmascarada para el Empleado).</t>
  </si>
  <si>
    <t>Se mostraron identificador, nombre, fecha de registro y huella SHA-256 enmascarada.</t>
  </si>
  <si>
    <t>Recorrido en navegador con capturas (Figuras del plan de pruebas), Fig. 4</t>
  </si>
  <si>
    <t>CP-19</t>
  </si>
  <si>
    <t>La huella no cambia para el mismo contenido</t>
  </si>
  <si>
    <t>Un documento ya registrado.</t>
  </si>
  <si>
    <t>Verificar ese mismo archivo (el sistema recalcula su huella).</t>
  </si>
  <si>
    <t>Archivo original sin cambios</t>
  </si>
  <si>
    <t>El hash recalculado es exactamente igual al registrado: "Integridad confirmada".</t>
  </si>
  <si>
    <t>Manual + automatizada (integridad)</t>
  </si>
  <si>
    <t>Los 20 originales, al verificarse, dieron exactamente el mismo hash registrado (Verificado).</t>
  </si>
  <si>
    <t>tests/integrity, corrida 2026-10-25-18-05</t>
  </si>
  <si>
    <t>CP-20</t>
  </si>
  <si>
    <t>HU-007</t>
  </si>
  <si>
    <t>RF-016, RF-017, RNF-04, RNF-05, RNF-20</t>
  </si>
  <si>
    <t>Registro en la blockchain con txID</t>
  </si>
  <si>
    <t>La huella del documento fue generada.</t>
  </si>
  <si>
    <t>Completar la carga y abrir Mi trazabilidad.</t>
  </si>
  <si>
    <t>Documento recién cargado</t>
  </si>
  <si>
    <t>Aparece el evento Carga de documento con su identificador de transacción (TX).</t>
  </si>
  <si>
    <t>Mi trazabilidad mostró el evento "Carga de documento" con su TX.</t>
  </si>
  <si>
    <t>Recorrido en navegador con capturas (Figuras del plan de pruebas), Fig. 6; tests/e2e/e2e.sh, 47/47 pasos (25/10/2026)</t>
  </si>
  <si>
    <t>CP-21</t>
  </si>
  <si>
    <t>Falla de la red blockchain</t>
  </si>
  <si>
    <t>La red Fabric no está disponible (se detiene el peer en el entorno local).</t>
  </si>
  <si>
    <t>Intentar cargar un PDF.</t>
  </si>
  <si>
    <t>Peer detenido (solo entorno local)</t>
  </si>
  <si>
    <t>No aparece mensaje de éxito; se informa que la red blockchain no está disponible.</t>
  </si>
  <si>
    <t>Adivinación de errores</t>
  </si>
  <si>
    <t>Automatizada (unitaria) + manual local</t>
  </si>
  <si>
    <t>Prueba unitaria: con la red caída, la carga responde 502 "La red blockchain no está disponible..." y no hay mensaje de éxito.</t>
  </si>
  <si>
    <t>backend/tests/events.test.ts y documents.test.ts. Prueba manual deteniendo el peer pendiente.</t>
  </si>
  <si>
    <t>CP-22</t>
  </si>
  <si>
    <t>HU-008</t>
  </si>
  <si>
    <t>RF-018 a RF-020, RNF-09</t>
  </si>
  <si>
    <t>Mis documentos muestra solo los propios</t>
  </si>
  <si>
    <t>Dos Empleados con documentos cargados.</t>
  </si>
  <si>
    <t>Cada Empleado abre Mis documentos.</t>
  </si>
  <si>
    <t>Empleado 1 y Empleado 2</t>
  </si>
  <si>
    <t>Cada uno ve únicamente sus documentos con su estado actual.</t>
  </si>
  <si>
    <t>Cada Empleado vio solo sus documentos; el Empleado 2 vio 0 documentos de María López.</t>
  </si>
  <si>
    <t>tests/e2e/e2e.sh, 47/47 pasos (25/10/2026); Recorrido en navegador con capturas (Figuras del plan de pruebas), Fig. 5</t>
  </si>
  <si>
    <t>CP-23</t>
  </si>
  <si>
    <t>Estado inicial Pendiente</t>
  </si>
  <si>
    <t>Un documento sin verificaciones.</t>
  </si>
  <si>
    <t>Abrir Mis documentos.</t>
  </si>
  <si>
    <t>El documento aparece con estado Pendiente.</t>
  </si>
  <si>
    <t>El documento recién cargado apareció como "pendiente".</t>
  </si>
  <si>
    <t>Recorrido en navegador con capturas (Figuras del plan de pruebas), Fig. 5 (ver DEF-05 por la minúscula)</t>
  </si>
  <si>
    <t>CP-24</t>
  </si>
  <si>
    <t>HU-009</t>
  </si>
  <si>
    <t>RF-021, RF-022, RNF-06, RNF-26, RNF-27</t>
  </si>
  <si>
    <t>Trazabilidad de mis documentos</t>
  </si>
  <si>
    <t>Un documento con carga y verificaciones.</t>
  </si>
  <si>
    <t>Abrir Mi trazabilidad.</t>
  </si>
  <si>
    <t>Documento C01</t>
  </si>
  <si>
    <t>Historial en orden cronológico con documento, acción, fecha, hora, TX y resultado.</t>
  </si>
  <si>
    <t>Historial en orden cronológico con acción, fecha, hora, TX y resultado.</t>
  </si>
  <si>
    <t>Recorrido en navegador con capturas (Figuras del plan de pruebas), Fig. 6</t>
  </si>
  <si>
    <t>CP-25</t>
  </si>
  <si>
    <t>Trazabilidad de un documento ajeno</t>
  </si>
  <si>
    <t>Un documento de otro Empleado.</t>
  </si>
  <si>
    <t>Pedir su trazabilidad (por la API con la sesión del Empleado 2).</t>
  </si>
  <si>
    <t>Identificador de un documento del Empleado 1</t>
  </si>
  <si>
    <t>El sistema deniega el acceso (403).</t>
  </si>
  <si>
    <t>Automatizada (e2e)</t>
  </si>
  <si>
    <t>La trazabilidad de un documento ajeno respondió 403.</t>
  </si>
  <si>
    <t>CP-26</t>
  </si>
  <si>
    <t>HU-010</t>
  </si>
  <si>
    <t>RF-023 a RF-025</t>
  </si>
  <si>
    <t>Selección de un documento registrado</t>
  </si>
  <si>
    <t>Existen documentos registrados.</t>
  </si>
  <si>
    <t>Elegir la persona responsable y luego el contrato (o pegar el identificador).</t>
  </si>
  <si>
    <t>El sistema confirma el documento y habilita la carga del archivo a comparar.</t>
  </si>
  <si>
    <t>Se eligió el documento por persona y contrato, y también pegando el identificador; se habilitó la carga a comparar.</t>
  </si>
  <si>
    <t>Recorrido en navegador con capturas (Figuras del plan de pruebas), Fig. 7 y 8</t>
  </si>
  <si>
    <t>CP-27</t>
  </si>
  <si>
    <t>Identificador inexistente</t>
  </si>
  <si>
    <t>El Verificador está en Verificar integridad.</t>
  </si>
  <si>
    <t>Pegar un identificador que no existe y pulsar Buscar.</t>
  </si>
  <si>
    <t>00000000-0000-0000-0000-000000000000</t>
  </si>
  <si>
    <t>Mensaje "El documento no está registrado."</t>
  </si>
  <si>
    <t>Un identificador inexistente respondió 404 "El documento no está registrado."</t>
  </si>
  <si>
    <t>CP-28</t>
  </si>
  <si>
    <t>HU-011</t>
  </si>
  <si>
    <t>RF-026, RF-027, RNF-08</t>
  </si>
  <si>
    <t>Huella completa para el Verificador</t>
  </si>
  <si>
    <t>Un documento existente.</t>
  </si>
  <si>
    <t>Seleccionarlo en Verificar integridad.</t>
  </si>
  <si>
    <t>Se muestra el hash SHA-256 registrado completo (64 caracteres).</t>
  </si>
  <si>
    <t>El Verificador vio la huella completa de 64 caracteres.</t>
  </si>
  <si>
    <t>Recorrido en navegador con capturas (Figuras del plan de pruebas), Fig. 8; tests/e2e/e2e.sh, 47/47 pasos (25/10/2026)</t>
  </si>
  <si>
    <t>CP-29</t>
  </si>
  <si>
    <t>Empleado sin acceso a la huella ajena</t>
  </si>
  <si>
    <t>Un Empleado y un documento de otra persona.</t>
  </si>
  <si>
    <t>Consultar el documento ajeno por la API con la sesión del Empleado.</t>
  </si>
  <si>
    <t>Sesión del Empleado 2</t>
  </si>
  <si>
    <t>El acceso se deniega; el Empleado solo ve huellas enmascaradas de lo suyo.</t>
  </si>
  <si>
    <t>Re-prueba tras corregir DEF-06: el Empleado 2 recibe 403 al pedir el documento de María López.</t>
  </si>
  <si>
    <t>backend/tests/documents.test.ts; GET /documents/{id} del 27/10/2026</t>
  </si>
  <si>
    <t>DEF-06</t>
  </si>
  <si>
    <t>CP-30</t>
  </si>
  <si>
    <t>HU-012</t>
  </si>
  <si>
    <t>RF-028, RF-029, RNF-23, RNF-24</t>
  </si>
  <si>
    <t>Carga del archivo a comparar</t>
  </si>
  <si>
    <t>Documento seleccionado.</t>
  </si>
  <si>
    <t>Cargar un PDF válido en el paso 2.</t>
  </si>
  <si>
    <t>PDF válido</t>
  </si>
  <si>
    <t>El archivo aparece como Listo y se habilita Comparar huellas SHA-256.</t>
  </si>
  <si>
    <t>El archivo apareció como "Listo" y se habilitó "Comparar huellas SHA-256".</t>
  </si>
  <si>
    <t>Recorrido en navegador con capturas (Figuras del plan de pruebas), Fig. 8</t>
  </si>
  <si>
    <t>CP-31</t>
  </si>
  <si>
    <t>Archivo a comparar de 30 MB</t>
  </si>
  <si>
    <t>Intentar cargar un PDF de 30 MB.</t>
  </si>
  <si>
    <t>PDF de 30 MB</t>
  </si>
  <si>
    <t>Se rechaza informando el límite de 20 MB.</t>
  </si>
  <si>
    <t>No se ha probado con un PDF de 30 MB en la verificación.</t>
  </si>
  <si>
    <t>CP-32</t>
  </si>
  <si>
    <t>HU-013</t>
  </si>
  <si>
    <t>RF-030 a RF-033, RNF-10, RNF-14</t>
  </si>
  <si>
    <t>Huellas idénticas</t>
  </si>
  <si>
    <t>Documento seleccionado y el mismo archivo original.</t>
  </si>
  <si>
    <t>Pulsar Comparar huellas SHA-256.</t>
  </si>
  <si>
    <t>Original de C01</t>
  </si>
  <si>
    <t>Mensaje "Integridad confirmada: los hashes son idénticos" con ambas huellas.</t>
  </si>
  <si>
    <t>"Integridad confirmada: los hashes son idénticos" con ambas huellas.</t>
  </si>
  <si>
    <t>Recorrido en navegador con capturas (Figuras del plan de pruebas), Fig. 9</t>
  </si>
  <si>
    <t>CP-33</t>
  </si>
  <si>
    <t>Huellas distintas</t>
  </si>
  <si>
    <t>Documento seleccionado y una copia alterada.</t>
  </si>
  <si>
    <t>Alterado de C01 (salario)</t>
  </si>
  <si>
    <t>Mensaje "Integridad comprometida: los hashes no coinciden" y se muestran las dos huellas.</t>
  </si>
  <si>
    <t>"Integridad comprometida: los hashes no coinciden" con las dos huellas distintas.</t>
  </si>
  <si>
    <t>Recorrido en navegador con capturas (Figuras del plan de pruebas), Fig. 10</t>
  </si>
  <si>
    <t>CP-34</t>
  </si>
  <si>
    <t>HU-014</t>
  </si>
  <si>
    <t>RF-034 a RF-036, RNF-05, RNF-27</t>
  </si>
  <si>
    <t>Estado Verificado y evento en el ledger</t>
  </si>
  <si>
    <t>Una verificación con huellas iguales.</t>
  </si>
  <si>
    <t>Revisar el estado del documento y la trazabilidad.</t>
  </si>
  <si>
    <t>El estado cambia a Verificado y aparece el evento con su TX y resultado OK.</t>
  </si>
  <si>
    <t>El estado pasó a Verificado y el evento quedó en el ledger con su TX.</t>
  </si>
  <si>
    <t>tests/e2e/e2e.sh, 47/47 pasos (25/10/2026); tests/integrity (trazabilidad 20/20)</t>
  </si>
  <si>
    <t>CP-35</t>
  </si>
  <si>
    <t>Nueva verificación</t>
  </si>
  <si>
    <t>El Verificador terminó una verificación.</t>
  </si>
  <si>
    <t>Pulsar Nueva verificación.</t>
  </si>
  <si>
    <t>N/A</t>
  </si>
  <si>
    <t>Vuelve el formulario vacío de selección de documento.</t>
  </si>
  <si>
    <t>"Nueva verificación" volvió al formulario vacío de selección.</t>
  </si>
  <si>
    <t>Recorrido en navegador con capturas (Figuras del plan de pruebas). Ver DEF-01 (la lista conserva el estado anterior)</t>
  </si>
  <si>
    <t>CP-36</t>
  </si>
  <si>
    <t>HU-015</t>
  </si>
  <si>
    <t>RF-037, RF-038, RNF-08</t>
  </si>
  <si>
    <t>Listado general de documentos</t>
  </si>
  <si>
    <t>El Verificador inicia sesión.</t>
  </si>
  <si>
    <t>Abrir Documentos.</t>
  </si>
  <si>
    <t>Se ven todos los documentos con sus seis campos: nombre, responsable, fecha, identificador, huella y estado.</t>
  </si>
  <si>
    <t>Listado con nombre, responsable, fecha, identificador, huella y estado.</t>
  </si>
  <si>
    <t>Recorrido en navegador con capturas (Figuras del plan de pruebas), Fig. 11</t>
  </si>
  <si>
    <t>CP-37</t>
  </si>
  <si>
    <t>Huella restringida para roles no autorizados</t>
  </si>
  <si>
    <t>Un rol que no es Verificador consulta el listado.</t>
  </si>
  <si>
    <t>Abrir el listado de documentos como Administrador o Empleado.</t>
  </si>
  <si>
    <t>Sesión de Administrador</t>
  </si>
  <si>
    <t>La huella se muestra enmascarada (por ejemplo d3f3aef7•••0a5c4f39).</t>
  </si>
  <si>
    <t>Para el Administrador la huella aparece enmascarada.</t>
  </si>
  <si>
    <t>Recorrido en navegador con capturas (Figuras del plan de pruebas), Fig. 16; tests/e2e/e2e.sh, 47/47 pasos (25/10/2026)</t>
  </si>
  <si>
    <t>CP-38</t>
  </si>
  <si>
    <t>HU-016</t>
  </si>
  <si>
    <t>RF-039, RF-040, RNF-26, RNF-27</t>
  </si>
  <si>
    <t>Trazabilidad global</t>
  </si>
  <si>
    <t>Existen eventos registrados.</t>
  </si>
  <si>
    <t>Abrir Trazabilidad global.</t>
  </si>
  <si>
    <t>Se ven los eventos de todos los documentos en orden cronológico.</t>
  </si>
  <si>
    <t>Eventos de todos los documentos en orden cronológico.</t>
  </si>
  <si>
    <t>Recorrido en navegador con capturas (Figuras del plan de pruebas), Fig. 12</t>
  </si>
  <si>
    <t>CP-39</t>
  </si>
  <si>
    <t>Campos de la trazabilidad global</t>
  </si>
  <si>
    <t>El listado de eventos del ledger.</t>
  </si>
  <si>
    <t>Revisar las columnas.</t>
  </si>
  <si>
    <t>Se muestran Documento, Acción, Usuario, TX ID, Fecha y Resultado.</t>
  </si>
  <si>
    <t>Columnas Documento, Acción, Usuario, TX ID, Fecha y Resultado.</t>
  </si>
  <si>
    <t>CP-40</t>
  </si>
  <si>
    <t>HU-017</t>
  </si>
  <si>
    <t>RF-041, RF-042</t>
  </si>
  <si>
    <t>Panel con los cuatro totales</t>
  </si>
  <si>
    <t>El Administrador inicia sesión.</t>
  </si>
  <si>
    <t>Abrir el Dashboard.</t>
  </si>
  <si>
    <t>Se ven Total documentos, Verificados, Pendientes y Alterados, y la actividad reciente.</t>
  </si>
  <si>
    <t>Se vieron Total (26), Verificados (0), Pendientes (2) y Alterados (24) y la actividad reciente.</t>
  </si>
  <si>
    <t>Recorrido en navegador con capturas (Figuras del plan de pruebas), Fig. 13</t>
  </si>
  <si>
    <t>CP-41</t>
  </si>
  <si>
    <t>La suma de estados coincide con el total</t>
  </si>
  <si>
    <t>Documentos en distintos estados.</t>
  </si>
  <si>
    <t>Sumar Verificados + Pendientes + Alterados.</t>
  </si>
  <si>
    <t>Datos de la ejecución</t>
  </si>
  <si>
    <t>La suma es igual al Total documentos.</t>
  </si>
  <si>
    <t>0 + 2 + 24 = 26, igual al total.</t>
  </si>
  <si>
    <t>Recorrido en navegador con capturas (Figuras del plan de pruebas), Fig. 13; tests/e2e/e2e.sh, 47/47 pasos (25/10/2026)</t>
  </si>
  <si>
    <t>CP-42</t>
  </si>
  <si>
    <t>HU-018</t>
  </si>
  <si>
    <t>RF-043 a RF-047, RNF-03</t>
  </si>
  <si>
    <t>Creación de usuario</t>
  </si>
  <si>
    <t>El Administrador está en Usuarios.</t>
  </si>
  <si>
    <t>Nuevo usuario: nombre, correo no registrado y rol; Crear usuario.</t>
  </si>
  <si>
    <t>Correo nuevo de prueba</t>
  </si>
  <si>
    <t>El usuario queda Activo con el rol elegido y se entrega una contraseña temporal. Un correo repetido se rechaza.</t>
  </si>
  <si>
    <t>Usuario creado (HTTP 201) en estado Activo; el correo repetido dio 409; el usuario nuevo inició sesión con la contraseña temporal.</t>
  </si>
  <si>
    <t>tests/e2e/e2e.sh, 47/47 pasos (25/10/2026); Recorrido en navegador con capturas (Figuras del plan de pruebas), Fig. 15</t>
  </si>
  <si>
    <t>CP-43</t>
  </si>
  <si>
    <t>Desactivación conserva el historial</t>
  </si>
  <si>
    <t>Un usuario activo con documentos.</t>
  </si>
  <si>
    <t>Desactivarlo e intentar iniciar sesión con él.</t>
  </si>
  <si>
    <t>Usuario de prueba con documentos</t>
  </si>
  <si>
    <t>Queda Inactivo, no puede iniciar sesión y su trazabilidad se conserva.</t>
  </si>
  <si>
    <t>Evidencia parcial: la desactivación responde 204, el usuario figura Inactivo y una prueba unitaria rechaza su inicio de sesión. Falta comprobar que se conserva su trazabilidad.</t>
  </si>
  <si>
    <t>CP-44</t>
  </si>
  <si>
    <t>HU-019</t>
  </si>
  <si>
    <t>RF-048, RF-049, RNF-04, RNF-08</t>
  </si>
  <si>
    <t>Listado administrativo de documentos</t>
  </si>
  <si>
    <t>Se ven todos los documentos con sus seis campos, sin exponer el contenido del archivo.</t>
  </si>
  <si>
    <t>Todos los documentos con sus seis campos, sin el contenido del archivo.</t>
  </si>
  <si>
    <t>Recorrido en navegador con capturas (Figuras del plan de pruebas), Fig. 16</t>
  </si>
  <si>
    <t>CP-45</t>
  </si>
  <si>
    <t>Mismos campos que el Verificador</t>
  </si>
  <si>
    <t>Un documento registrado.</t>
  </si>
  <si>
    <t>Comparar el listado del Administrador con el del Verificador.</t>
  </si>
  <si>
    <t>Se muestran los mismos campos; la huella del Administrador va enmascarada.</t>
  </si>
  <si>
    <t>Mismos campos que el Verificador; huella enmascarada.</t>
  </si>
  <si>
    <t>Recorrido en navegador con capturas (Figuras del plan de pruebas), Fig. 11 y 16</t>
  </si>
  <si>
    <t>CP-46</t>
  </si>
  <si>
    <t>HU-020</t>
  </si>
  <si>
    <t>RF-050, RF-051, RNF-26, RNF-27</t>
  </si>
  <si>
    <t>Trazabilidad administrativa</t>
  </si>
  <si>
    <t>Abrir Trazabilidad.</t>
  </si>
  <si>
    <t>Se ven los eventos de todos los documentos con TX ID y Resultado.</t>
  </si>
  <si>
    <t>Eventos de todos los documentos con TX ID y Resultado.</t>
  </si>
  <si>
    <t>Recorrido en navegador con capturas (Figuras del plan de pruebas), Fig. 17</t>
  </si>
  <si>
    <t>CP-47</t>
  </si>
  <si>
    <t>Detalle igual o mayor que el Verificador</t>
  </si>
  <si>
    <t>Las pantallas de trazabilidad de ambos roles.</t>
  </si>
  <si>
    <t>Comparar columnas y registros.</t>
  </si>
  <si>
    <t>El Administrador ve igual o más detalle que el Verificador.</t>
  </si>
  <si>
    <t>El Administrador ve las mismas columnas y registros que el Verificador.</t>
  </si>
  <si>
    <t>Recorrido en navegador con capturas (Figuras del plan de pruebas), Fig. 12 y 17</t>
  </si>
  <si>
    <t>CP-48</t>
  </si>
  <si>
    <t>HU-024</t>
  </si>
  <si>
    <t>Cambio de rol</t>
  </si>
  <si>
    <t>Un usuario existente con sesión abierta.</t>
  </si>
  <si>
    <t>El Administrador le cambia el rol.</t>
  </si>
  <si>
    <t>Usuario de prueba</t>
  </si>
  <si>
    <t>La sesión abierta se corta y el nuevo rol aplica desde su siguiente inicio de sesión.</t>
  </si>
  <si>
    <t>Evidencia parcial: al cambiar el rol, la sesión abierta respondió 401 (e2e). Falta iniciar sesión de nuevo y ver el nuevo rol.</t>
  </si>
  <si>
    <t>CP-49</t>
  </si>
  <si>
    <t>Desactivación (edición de usuarios)</t>
  </si>
  <si>
    <t>El Administrador lo desactiva.</t>
  </si>
  <si>
    <t>Conserva su trazabilidad y ya no puede iniciar sesión. El Administrador no puede desactivarse a sí mismo.</t>
  </si>
  <si>
    <t>Evidencia parcial: el Administrador no puede desactivarse a sí mismo (400). Falta comprobar el historial del usuario desactivado.</t>
  </si>
  <si>
    <t>CP-50</t>
  </si>
  <si>
    <t>HU-021</t>
  </si>
  <si>
    <t>RNF-19 a RNF-22</t>
  </si>
  <si>
    <t>Todo el sistema arranca en contenedores</t>
  </si>
  <si>
    <t>Servidor con Docker y el proyecto descargado.</t>
  </si>
  <si>
    <t>Ejecutar bash docker/up.sh y luego docker ps.</t>
  </si>
  <si>
    <t>Entorno de validación</t>
  </si>
  <si>
    <t>Arrancan frontend, backend, MongoDB, la red Fabric (orderer, 2 peers, 3 CA), el chaincode y, en Azure, Caddy.</t>
  </si>
  <si>
    <t>Manual + automatizada (smoke-test.sh)</t>
  </si>
  <si>
    <t>up.sh levantó red Fabric, chaincode, MongoDB, backend y frontend; smoke-test.sh en PASS.</t>
  </si>
  <si>
    <t>Instalación desde cero en local (octubre de 2026) y despliegue en Azure del 25/10/2026</t>
  </si>
  <si>
    <t>CP-51</t>
  </si>
  <si>
    <t>El frontend no habla con la blockchain</t>
  </si>
  <si>
    <t>El código fuente y el sistema en ejecución.</t>
  </si>
  <si>
    <t>Revisar el código del frontend y las peticiones de red del navegador.</t>
  </si>
  <si>
    <t>Herramientas del navegador</t>
  </si>
  <si>
    <t>Todas las peticiones van a /api (backend); ninguna va a los nodos de Fabric.</t>
  </si>
  <si>
    <t>Revisión estática</t>
  </si>
  <si>
    <t>El frontend solo llama a /api (proxy nginx al backend); la política CSP impide conexiones a otros destinos.</t>
  </si>
  <si>
    <t>Revisión de frontend/src/lib/api.ts y prueba del proxy del 25/10/2026</t>
  </si>
  <si>
    <t>INT-01</t>
  </si>
  <si>
    <t>Integridad</t>
  </si>
  <si>
    <t>RNF-14</t>
  </si>
  <si>
    <t>Mutación documental de los 20 documentos sintéticos</t>
  </si>
  <si>
    <t>Sistema desplegado y documentos de prueba disponibles.</t>
  </si>
  <si>
    <t>Por cada documento: registrar el original, verificarlo con el original y con su copia alterada.</t>
  </si>
  <si>
    <t>docs/documentos-prueba</t>
  </si>
  <si>
    <t>20 de 20 alteraciones detectadas (Alterado) y 0 originales marcados como alterados.</t>
  </si>
  <si>
    <t>Mutación documental</t>
  </si>
  <si>
    <t>Automatizada (tests/integrity)</t>
  </si>
  <si>
    <t>20 de 20 alteraciones detectadas, 0 falsos positivos, trazabilidad 20 de 20.</t>
  </si>
  <si>
    <t>docs/evidencias/integridad-mutacion.md; tests/integrity/resultados/corrida-2026-10-25-18-05.csv</t>
  </si>
  <si>
    <t>INT-02</t>
  </si>
  <si>
    <t>Alteración de texto en la interfaz</t>
  </si>
  <si>
    <t>Verificar en pantalla un contrato con el salario cambiado.</t>
  </si>
  <si>
    <t>Integridad comprometida.</t>
  </si>
  <si>
    <t>Manual con captura</t>
  </si>
  <si>
    <t>El contrato C01 con el salario cambiado dio "Integridad comprometida".</t>
  </si>
  <si>
    <t>INT-03</t>
  </si>
  <si>
    <t>Alteración de firma en la interfaz</t>
  </si>
  <si>
    <t>Verificar en pantalla un contrato con otro firmante.</t>
  </si>
  <si>
    <t>Pendiente de la ejecución manual en pantalla.</t>
  </si>
  <si>
    <t>INT-04</t>
  </si>
  <si>
    <t>Alteración solo de metadatos</t>
  </si>
  <si>
    <t>Verificar en pantalla un documento cuyo contenido visible es idéntico pero cambió su autor.</t>
  </si>
  <si>
    <t>Integridad comprometida, aunque a simple vista se vea igual.</t>
  </si>
  <si>
    <t>INT-05</t>
  </si>
  <si>
    <t>Cambio de un solo carácter</t>
  </si>
  <si>
    <t>Verificar en pantalla un documento donde un punto pasó a ser coma.</t>
  </si>
  <si>
    <t>INT-06</t>
  </si>
  <si>
    <t>Anexo agregado</t>
  </si>
  <si>
    <t>Verificar en pantalla un documento con una página extra al final.</t>
  </si>
  <si>
    <t>TRZ-01</t>
  </si>
  <si>
    <t>RNF-26</t>
  </si>
  <si>
    <t>Orden cronológico del historial</t>
  </si>
  <si>
    <t>Hacer carga, verificación confirmada y verificación comprometida de un documento y abrir su trazabilidad.</t>
  </si>
  <si>
    <t>Aparecen las 3 acciones en el orden en que se hicieron, cada una con su TX ID.</t>
  </si>
  <si>
    <t>Medición</t>
  </si>
  <si>
    <t>Manual + automatizada</t>
  </si>
  <si>
    <t>Los 20 documentos tienen registro y sus 2 verificaciones con TX, en el orden ejecutado.</t>
  </si>
  <si>
    <t>tests/integrity (trazabilidad 20/20); Fig. 12</t>
  </si>
  <si>
    <t>TRZ-02</t>
  </si>
  <si>
    <t>RNF-05</t>
  </si>
  <si>
    <t>Inmutabilidad del registro</t>
  </si>
  <si>
    <t>Verificar varias veces un documento y revisar su huella registrada.</t>
  </si>
  <si>
    <t>La huella registrada no cambia; cada verificación agrega un evento nuevo sin borrar los anteriores.</t>
  </si>
  <si>
    <t>Evidencia parcial: cada verificación agrega un evento nuevo (Fig. 12). Falta comprobar la huella tras varias verificaciones.</t>
  </si>
  <si>
    <t>TRZ-03</t>
  </si>
  <si>
    <t>RNF-13</t>
  </si>
  <si>
    <t>Consistencia entre la blockchain y la base de datos</t>
  </si>
  <si>
    <t>Comparar el hash y el estado de cada documento en el ledger y en MongoDB.</t>
  </si>
  <si>
    <t>Coinciden en el 100 % de los documentos.</t>
  </si>
  <si>
    <t>Automatizada</t>
  </si>
  <si>
    <t>Pendiente: comparar ledger y MongoDB documento por documento.</t>
  </si>
  <si>
    <t>REN-01</t>
  </si>
  <si>
    <t>Rendimiento</t>
  </si>
  <si>
    <t>RNF-10</t>
  </si>
  <si>
    <t>Latencia de la verificación</t>
  </si>
  <si>
    <t>50 verificaciones consecutivas del mismo documento (tests/perf).</t>
  </si>
  <si>
    <t>Percentil 95 menor o igual a 3000 ms.</t>
  </si>
  <si>
    <t>Automatizada (tests/perf)</t>
  </si>
  <si>
    <t>Medición oficial: P95 = 2059 ms en 50 verificaciones consecutivas con un PDF de 2,7 MB (meta ≤ 3000 ms). Ensayo previo del 15/10/2026: 2040 ms.</t>
  </si>
  <si>
    <t>docs/evidencias/latencia-verificacion-2026-10-27-13-12.md</t>
  </si>
  <si>
    <t>REN-02</t>
  </si>
  <si>
    <t>RNF-09</t>
  </si>
  <si>
    <t>Latencia de la escritura del hash</t>
  </si>
  <si>
    <t>Medir el tiempo de registro de los 20 documentos de INT-01.</t>
  </si>
  <si>
    <t>Se reporta la media y el máximo (referencia: un bloque cada 2 s).</t>
  </si>
  <si>
    <t>Registro de 20 documentos: media de 2044 ms por documento.</t>
  </si>
  <si>
    <t>docs/evidencias/integridad-mutacion.md</t>
  </si>
  <si>
    <t>Registro de defectos (informe de incidentes)</t>
  </si>
  <si>
    <t>Campos según ISO/IEC/IEEE 29119-3: momento, originador, contexto, descripción, severidad, prioridad, riesgo y estado.</t>
  </si>
  <si>
    <t>Fecha de reporte</t>
  </si>
  <si>
    <t>Reportado por</t>
  </si>
  <si>
    <t>Módulo</t>
  </si>
  <si>
    <t>Entorno</t>
  </si>
  <si>
    <t>Título</t>
  </si>
  <si>
    <t>Pasos para reproducir</t>
  </si>
  <si>
    <t>Severidad</t>
  </si>
  <si>
    <t>Riesgo si no se corrige</t>
  </si>
  <si>
    <t>Asignado a</t>
  </si>
  <si>
    <t>Fecha de corrección</t>
  </si>
  <si>
    <t>Fecha de cierre</t>
  </si>
  <si>
    <t>DEF-01</t>
  </si>
  <si>
    <t>EP-03 Verificación</t>
  </si>
  <si>
    <t>Local, Chrome</t>
  </si>
  <si>
    <t>La lista de contratos del Verificador no se actualiza después de verificar</t>
  </si>
  <si>
    <t>1. Entrar como Verificador. 2. Verificar un documento Pendiente. 3. Pulsar Nueva verificación. 4. Abrir la lista de contratos.</t>
  </si>
  <si>
    <t>El documento muestra su nuevo estado (Verificado o Alterado).</t>
  </si>
  <si>
    <t>Sigue apareciendo como Pendiente hasta recargar la página.</t>
  </si>
  <si>
    <t>P3 Media</t>
  </si>
  <si>
    <t>El Verificador puede creer que un documento no se ha verificado.</t>
  </si>
  <si>
    <t>Nuevo</t>
  </si>
  <si>
    <t>Laura Sofia Diaz Suarez</t>
  </si>
  <si>
    <t>Captura del selector (Fig. 7); la lista se carga una sola vez al abrir la pantalla</t>
  </si>
  <si>
    <t>DEF-02</t>
  </si>
  <si>
    <t>EP-01 Autenticación</t>
  </si>
  <si>
    <t>"Reenviar código" no envía un código nuevo</t>
  </si>
  <si>
    <t>1. Iniciar sesión con credenciales válidas. 2. En la pantalla del código, pulsar Reenviar código.</t>
  </si>
  <si>
    <t>Se envía un nuevo código al correo.</t>
  </si>
  <si>
    <t>Solo se borran los campos del código; no llega ningún correo nuevo.</t>
  </si>
  <si>
    <t>P2 Alta</t>
  </si>
  <si>
    <t>Si el código vence o no llega, el usuario debe volver a iniciar sesión.</t>
  </si>
  <si>
    <t>frontend/src/pages/OtpPage.tsx (el botón solo limpia el código)</t>
  </si>
  <si>
    <t>Local</t>
  </si>
  <si>
    <t>No se registran los intentos fallidos de inicio de sesión</t>
  </si>
  <si>
    <t>1. Iniciar sesión con una contraseña errada. 2. Buscar el registro del intento.</t>
  </si>
  <si>
    <t>Queda registrado el correo, la fecha, la hora y el motivo, sin la contraseña.</t>
  </si>
  <si>
    <t>Solo se cuenta el intento para el bloqueo; no hay registro consultable.</t>
  </si>
  <si>
    <t>No se pueden auditar accesos sospechosos (HU-022 CA-03, RNF-06).</t>
  </si>
  <si>
    <t>Corregido</t>
  </si>
  <si>
    <t>Sofia Ortiz Daza</t>
  </si>
  <si>
    <t>Revisión de backend/src/services/authService.ts</t>
  </si>
  <si>
    <t>CP-13 a CP-15</t>
  </si>
  <si>
    <t>No existe la aceptación de la política de tratamiento de datos</t>
  </si>
  <si>
    <t>1. Crear un usuario. 2. Iniciar sesión por primera vez.</t>
  </si>
  <si>
    <t>Se muestra la política y no se habilita nada hasta aceptarla; se registra la aceptación.</t>
  </si>
  <si>
    <t>El usuario entra directo a su panel.</t>
  </si>
  <si>
    <t>P1 Urgente</t>
  </si>
  <si>
    <t>Incumple la autorización previa de la Ley 1581 de 2012 (RF-055).</t>
  </si>
  <si>
    <t>Sofia y Laura</t>
  </si>
  <si>
    <t>Funcionalidad no implementada</t>
  </si>
  <si>
    <t>DEF-05</t>
  </si>
  <si>
    <t>EP-02 Gestión documental</t>
  </si>
  <si>
    <t>Los estados se muestran en minúscula</t>
  </si>
  <si>
    <t>1. Abrir Mis documentos.</t>
  </si>
  <si>
    <t>Pendiente, Verificado, Alterado (como en el resto del sistema).</t>
  </si>
  <si>
    <t>pendiente, alterado.</t>
  </si>
  <si>
    <t>P4 Baja</t>
  </si>
  <si>
    <t>Inconsistencia visual.</t>
  </si>
  <si>
    <t>Fig. 5</t>
  </si>
  <si>
    <t>Local, API</t>
  </si>
  <si>
    <t>Un Empleado puede consultar los datos de un documento ajeno</t>
  </si>
  <si>
    <t>1. Iniciar sesión como Empleado 2. 2. Pedir GET /documents/{id} de un documento de María López.</t>
  </si>
  <si>
    <t>Acceso denegado (403).</t>
  </si>
  <si>
    <t>HTTP 200 con nombre, responsable, fecha y estado del documento ajeno (la huella sí sale enmascarada).</t>
  </si>
  <si>
    <t>Exposición de datos personales de otros empleados (RNF-08, Ley 1581 de 2012).</t>
  </si>
  <si>
    <t>Respuesta HTTP 200 registrada el 25/10/2026</t>
  </si>
  <si>
    <t>Matriz de trazabilidad y cumplimiento de requerimientos</t>
  </si>
  <si>
    <t>Todo lo numérico se calcula desde la hoja "Casos de prueba". El estado oficial es el del Ciclo 2 (Azure).</t>
  </si>
  <si>
    <t>Historia / requerimiento</t>
  </si>
  <si>
    <t>Descripción</t>
  </si>
  <si>
    <t>RF</t>
  </si>
  <si>
    <t>RNF / norma</t>
  </si>
  <si>
    <t>N.° de casos</t>
  </si>
  <si>
    <t>FAIL ciclo 1</t>
  </si>
  <si>
    <t>Pendientes ciclo 2</t>
  </si>
  <si>
    <t>Cobertura (ciclo 1)</t>
  </si>
  <si>
    <t>Cumplimiento (ciclo 2)</t>
  </si>
  <si>
    <t>Selección de rol e inicio con credenciales corporativas</t>
  </si>
  <si>
    <t>RF-001, RF-002</t>
  </si>
  <si>
    <t>RNF-02</t>
  </si>
  <si>
    <t>CP-01, CP-02</t>
  </si>
  <si>
    <t>Autenticación de doble factor y acceso por rol</t>
  </si>
  <si>
    <t>RF-003 a RF-006</t>
  </si>
  <si>
    <t>RNF-02, RNF-03</t>
  </si>
  <si>
    <t>CP-03, CP-04</t>
  </si>
  <si>
    <t>Cierre de sesión seguro</t>
  </si>
  <si>
    <t>RF-007</t>
  </si>
  <si>
    <t>RNF-07</t>
  </si>
  <si>
    <t>CP-05, CP-06</t>
  </si>
  <si>
    <t>Cambio de contraseña</t>
  </si>
  <si>
    <t>RF-052, RF-053</t>
  </si>
  <si>
    <t>RNF-01</t>
  </si>
  <si>
    <t>CP-07, CP-08</t>
  </si>
  <si>
    <t>Carga y validación de documentos contractuales</t>
  </si>
  <si>
    <t>RF-008 a RF-012</t>
  </si>
  <si>
    <t>RNF-23, RNF-24</t>
  </si>
  <si>
    <t>CP-16, CP-17</t>
  </si>
  <si>
    <t>Registro de metadatos y generación de huella criptográfica</t>
  </si>
  <si>
    <t>RF-013 a RF-015</t>
  </si>
  <si>
    <t>RNF-11, RNF-13</t>
  </si>
  <si>
    <t>CP-18, CP-19</t>
  </si>
  <si>
    <t>Registro de la huella en la red blockchain</t>
  </si>
  <si>
    <t>RF-016, RF-017</t>
  </si>
  <si>
    <t>RNF-04, RNF-05, RNF-20</t>
  </si>
  <si>
    <t>CP-20, CP-21</t>
  </si>
  <si>
    <t>Consulta de mis documentos y su estado</t>
  </si>
  <si>
    <t>RF-018 a RF-020</t>
  </si>
  <si>
    <t>CP-22, CP-23</t>
  </si>
  <si>
    <t>Consulta de trazabilidad de mis documentos</t>
  </si>
  <si>
    <t>RF-021, RF-022</t>
  </si>
  <si>
    <t>RNF-06, RNF-26, RNF-27</t>
  </si>
  <si>
    <t>CP-24, CP-25</t>
  </si>
  <si>
    <t>Selección del documento a verificar</t>
  </si>
  <si>
    <t>CP-26, CP-27</t>
  </si>
  <si>
    <t>Consulta de la huella registrada con control de visibilidad</t>
  </si>
  <si>
    <t>RF-026, RF-027</t>
  </si>
  <si>
    <t>RNF-08</t>
  </si>
  <si>
    <t>CP-28, CP-29</t>
  </si>
  <si>
    <t>Carga del documento a comparar</t>
  </si>
  <si>
    <t>RF-028, RF-029</t>
  </si>
  <si>
    <t>CP-30, CP-31</t>
  </si>
  <si>
    <t>Comparación de huellas y resultado de la verificación</t>
  </si>
  <si>
    <t>RF-030 a RF-033</t>
  </si>
  <si>
    <t>RNF-10, RNF-14</t>
  </si>
  <si>
    <t>CP-32, CP-33</t>
  </si>
  <si>
    <t>Actualización de estado y registro de la verificación</t>
  </si>
  <si>
    <t>RF-034 a RF-036</t>
  </si>
  <si>
    <t>RNF-05, RNF-27</t>
  </si>
  <si>
    <t>CP-34, CP-35</t>
  </si>
  <si>
    <t>Consulta general de documentos registrados</t>
  </si>
  <si>
    <t>RF-037, RF-038</t>
  </si>
  <si>
    <t>CP-36, CP-37</t>
  </si>
  <si>
    <t>Consulta general de trazabilidad</t>
  </si>
  <si>
    <t>RF-039, RF-040</t>
  </si>
  <si>
    <t>RNF-26, RNF-27</t>
  </si>
  <si>
    <t>CP-38, CP-39</t>
  </si>
  <si>
    <t>Panel general con resumen documental</t>
  </si>
  <si>
    <t>CP-40, CP-41</t>
  </si>
  <si>
    <t>Gestión del ciclo de vida de usuarios</t>
  </si>
  <si>
    <t>RF-043 a RF-047</t>
  </si>
  <si>
    <t>RNF-03</t>
  </si>
  <si>
    <t>CP-42, CP-43</t>
  </si>
  <si>
    <t>Consulta administrativa de documentos</t>
  </si>
  <si>
    <t>RF-048, RF-049</t>
  </si>
  <si>
    <t>RNF-04, RNF-08</t>
  </si>
  <si>
    <t>CP-44, CP-45</t>
  </si>
  <si>
    <t>Consulta administrativa de trazabilidad</t>
  </si>
  <si>
    <t>RF-050, RF-051</t>
  </si>
  <si>
    <t>CP-46, CP-47</t>
  </si>
  <si>
    <t>Despliegue de la red blockchain y del entorno con Docker</t>
  </si>
  <si>
    <t>CP-50, CP-51</t>
  </si>
  <si>
    <t>Protección ante intentos fallidos de acceso</t>
  </si>
  <si>
    <t>RF-054</t>
  </si>
  <si>
    <t>RNF-06, RNF-07</t>
  </si>
  <si>
    <t>CP-09, CP-10, CP-11, CP-12</t>
  </si>
  <si>
    <t>Aceptación de la política de tratamiento de datos</t>
  </si>
  <si>
    <t>RF-055</t>
  </si>
  <si>
    <t>Ley 1581 de 2012</t>
  </si>
  <si>
    <t>CP-13, CP-14, CP-15</t>
  </si>
  <si>
    <t>Edición y desactivación de usuarios</t>
  </si>
  <si>
    <t>CP-48, CP-49</t>
  </si>
  <si>
    <t>Detección del 100 % de alteraciones (20 documentos)</t>
  </si>
  <si>
    <t>INT-01, INT-02, INT-03, INT-04, INT-05, INT-06</t>
  </si>
  <si>
    <t>Trazabilidad cronológica con txID</t>
  </si>
  <si>
    <t>Inmutabilidad del registro en el ledger</t>
  </si>
  <si>
    <t>Consistencia entre ledger y base de datos</t>
  </si>
  <si>
    <t>Latencia de verificación P95 ≤ 3000 ms</t>
  </si>
  <si>
    <t>Tiempo de respuesta adecuado en registro y consulta</t>
  </si>
  <si>
    <t>TOTAL</t>
  </si>
  <si>
    <t>Aseguramiento de la calidad (QA): auditoría del proceso de pruebas</t>
  </si>
  <si>
    <t>Fases según ISO/IEC/IEEE 29119-2. Evaluación inicial del 25/10/2026; el equipo la confirma o corrige en las celdas amarillas.</t>
  </si>
  <si>
    <t>Fase del proceso</t>
  </si>
  <si>
    <t>Criterio de control</t>
  </si>
  <si>
    <t>Evidencia esperada</t>
  </si>
  <si>
    <t>Evaluación</t>
  </si>
  <si>
    <t>Evidencia encontrada</t>
  </si>
  <si>
    <t>Acción de mejora</t>
  </si>
  <si>
    <t>Responsable</t>
  </si>
  <si>
    <t>Fecha de revisión</t>
  </si>
  <si>
    <t>QA-01</t>
  </si>
  <si>
    <t>Planificación</t>
  </si>
  <si>
    <t>Existe un plan de pruebas documentado y versionado.</t>
  </si>
  <si>
    <t>Plan con alcance, estrategia, entornos, cronograma y criterios.</t>
  </si>
  <si>
    <t>Cumple</t>
  </si>
  <si>
    <t>docs/Plan de Pruebas de Software - TrazaDoc.docx, versión 1.0.</t>
  </si>
  <si>
    <t>QA-02</t>
  </si>
  <si>
    <t>El plan está aprobado formalmente.</t>
  </si>
  <si>
    <t>Firma del director y la codirectora.</t>
  </si>
  <si>
    <t>Plan aprobado. Realizado; confirmado por el equipo el 25/10/2026. La evidencia todavía no está en el repositorio.</t>
  </si>
  <si>
    <t>Subir al repositorio el plan firmado o el registro de la aprobación.</t>
  </si>
  <si>
    <t>QA-03</t>
  </si>
  <si>
    <t>Los riesgos de las pruebas están identificados y mitigados.</t>
  </si>
  <si>
    <t>Tabla de riesgos con mitigación.</t>
  </si>
  <si>
    <t>Plan de pruebas, sección 10 (7 riesgos).</t>
  </si>
  <si>
    <t>QA-04</t>
  </si>
  <si>
    <t>Análisis</t>
  </si>
  <si>
    <t>Cada historia de usuario tiene criterios de aceptación verificables.</t>
  </si>
  <si>
    <t>Escenarios Dado / Cuando / Entonces.</t>
  </si>
  <si>
    <t>51 escenarios en el backlog para las 24 HU.</t>
  </si>
  <si>
    <t>QA-05</t>
  </si>
  <si>
    <t>Cada requerimiento está trazado a casos de prueba.</t>
  </si>
  <si>
    <t>Matriz de trazabilidad.</t>
  </si>
  <si>
    <t>Hoja Trazabilidad: 24 HU y 6 RNF con casos.</t>
  </si>
  <si>
    <t>QA-06</t>
  </si>
  <si>
    <t>Diseño</t>
  </si>
  <si>
    <t>Los casos tienen identificador, precondición, pasos, datos y resultado esperado.</t>
  </si>
  <si>
    <t>Especificación de casos completa.</t>
  </si>
  <si>
    <t>Hoja Casos de prueba (62 casos).</t>
  </si>
  <si>
    <t>QA-07</t>
  </si>
  <si>
    <t>Las técnicas de diseño de pruebas están documentadas.</t>
  </si>
  <si>
    <t>Particiones, valores límite, tablas de decisión, estados.</t>
  </si>
  <si>
    <t>Plan de pruebas, sección 5.1; columna Técnica de diseño.</t>
  </si>
  <si>
    <t>QA-08</t>
  </si>
  <si>
    <t>Implementación</t>
  </si>
  <si>
    <t>Los datos de prueba son controlados y no contienen datos reales.</t>
  </si>
  <si>
    <t>Conjunto de datos sintéticos con control de cambios.</t>
  </si>
  <si>
    <t>docs/documentos-prueba con manifiesto de hashes; generación determinista.</t>
  </si>
  <si>
    <t>QA-09</t>
  </si>
  <si>
    <t>Los entornos de prueba están documentados y son reproducibles.</t>
  </si>
  <si>
    <t>Guías y scripts de instalación.</t>
  </si>
  <si>
    <t>INSTALACION.md, DESPLIEGUE-AZURE.md, docker/up.sh.</t>
  </si>
  <si>
    <t>QA-10</t>
  </si>
  <si>
    <t>Gestión de configuración</t>
  </si>
  <si>
    <t>El código y los documentos están bajo control de versiones.</t>
  </si>
  <si>
    <t>Repositorio Git con historial.</t>
  </si>
  <si>
    <t>Repositorio en GitHub con commits por cambio.</t>
  </si>
  <si>
    <t>QA-11</t>
  </si>
  <si>
    <t>La versión bajo prueba está identificada y congelada.</t>
  </si>
  <si>
    <t>Etiqueta (tag) de la versión probada.</t>
  </si>
  <si>
    <t>Versión etiquetada. Realizado; confirmado por el equipo el 25/10/2026. La evidencia todavía no está en el repositorio.</t>
  </si>
  <si>
    <t>Publicar la etiqueta en GitHub (git push --tags) y anotarla en el informe.</t>
  </si>
  <si>
    <t>QA-12</t>
  </si>
  <si>
    <t>Revisiones</t>
  </si>
  <si>
    <t>El código pasa por revisión de pares antes de integrarse.</t>
  </si>
  <si>
    <t>Pull requests revisados.</t>
  </si>
  <si>
    <t>Parcial</t>
  </si>
  <si>
    <t>Registro de sprints: revisión con pull requests solo en parte.</t>
  </si>
  <si>
    <t>Usar pull requests revisados para las correcciones de defectos.</t>
  </si>
  <si>
    <t>QA-13</t>
  </si>
  <si>
    <t>Ejecución</t>
  </si>
  <si>
    <t>Existen pruebas automatizadas de regresión.</t>
  </si>
  <si>
    <t>Suites automáticas ejecutables.</t>
  </si>
  <si>
    <t>144 pruebas del backend, pruebas del chaincode, e2e de 47 pasos.</t>
  </si>
  <si>
    <t>QA-14</t>
  </si>
  <si>
    <t>Las pruebas automatizadas corren solas en cada cambio (integración continua).</t>
  </si>
  <si>
    <t>Pipeline de CI.</t>
  </si>
  <si>
    <t>Integración continua configurada. Realizado; confirmado por el equipo el 25/10/2026. La evidencia todavía no está en el repositorio.</t>
  </si>
  <si>
    <t>Subir el flujo de integración continua (por ejemplo, .github/workflows) al repositorio.</t>
  </si>
  <si>
    <t>QA-15</t>
  </si>
  <si>
    <t>Se usa un estándar de código verificado por herramientas.</t>
  </si>
  <si>
    <t>Linters y verificación de tipos.</t>
  </si>
  <si>
    <t>oxlint, TypeScript (tsc), gofmt y go vet sin errores.</t>
  </si>
  <si>
    <t>QA-16</t>
  </si>
  <si>
    <t>La ejecución queda registrada.</t>
  </si>
  <si>
    <t>Bitácora con fecha, actividad y resultado.</t>
  </si>
  <si>
    <t>Hoja Bitácora.</t>
  </si>
  <si>
    <t>QA-17</t>
  </si>
  <si>
    <t>Gestión de defectos</t>
  </si>
  <si>
    <t>Hay un procedimiento de defectos con severidad, prioridad, estados y responsables.</t>
  </si>
  <si>
    <t>Procedimiento documentado.</t>
  </si>
  <si>
    <t>Plan de pruebas, sección 4; hoja Defectos.</t>
  </si>
  <si>
    <t>QA-18</t>
  </si>
  <si>
    <t>Cada defecto está ligado a su caso y a su evidencia.</t>
  </si>
  <si>
    <t>Registro con caso y evidencia.</t>
  </si>
  <si>
    <t>Hoja Defectos (DEF-01 a DEF-06).</t>
  </si>
  <si>
    <t>QA-19</t>
  </si>
  <si>
    <t>Los defectos se gestionan en una herramienta compartida.</t>
  </si>
  <si>
    <t>Defectos en GitHub Issues.</t>
  </si>
  <si>
    <t>Los defectos están en este libro, aún no en GitHub Issues.</t>
  </si>
  <si>
    <t>Crear un issue por defecto con la etiqueta de severidad.</t>
  </si>
  <si>
    <t>QA-20</t>
  </si>
  <si>
    <t>Monitoreo y control</t>
  </si>
  <si>
    <t>Hay métricas de prueba definidas y calculadas.</t>
  </si>
  <si>
    <t>% de ejecución, % PASS, defectos por severidad.</t>
  </si>
  <si>
    <t>Hoja Resumen y métricas (fórmulas).</t>
  </si>
  <si>
    <t>QA-21</t>
  </si>
  <si>
    <t>Hay criterios de entrada y salida para cada fase.</t>
  </si>
  <si>
    <t>Criterios documentados.</t>
  </si>
  <si>
    <t>Plan de pruebas, sección 8.</t>
  </si>
  <si>
    <t>QA-22</t>
  </si>
  <si>
    <t>Calidad del proceso</t>
  </si>
  <si>
    <t>Se aplica la Definición de Terminado en cada historia.</t>
  </si>
  <si>
    <t>DoD documentada y aplicada.</t>
  </si>
  <si>
    <t>SPEC §10.2 y docs/registro-sprints.md.</t>
  </si>
  <si>
    <t>QA-23</t>
  </si>
  <si>
    <t>El tutor aprueba las historias de cada sprint (criterio 5 de la DoD).</t>
  </si>
  <si>
    <t>Aprobación registrada.</t>
  </si>
  <si>
    <t>Sprints aprobados por el tutor. Realizado; confirmado por el equipo el 25/10/2026. La evidencia todavía no está en el repositorio.</t>
  </si>
  <si>
    <t>Registrar la aprobación en docs/registro-sprints.md.</t>
  </si>
  <si>
    <t>QA-24</t>
  </si>
  <si>
    <t>Seguridad del entorno</t>
  </si>
  <si>
    <t>Los secretos están fuera del repositorio y el acceso público está protegido.</t>
  </si>
  <si>
    <t>Variables fuera de Git, HTTPS, puertos cerrados.</t>
  </si>
  <si>
    <t>docker/.env no versionado; HTTPS con Caddy; solo 80/443 abiertos.</t>
  </si>
  <si>
    <t>QA-25</t>
  </si>
  <si>
    <t>Cierre</t>
  </si>
  <si>
    <t>Hay informe de cierre con lecciones aprendidas.</t>
  </si>
  <si>
    <t>Informe de resultados y lecciones.</t>
  </si>
  <si>
    <t>Pendiente</t>
  </si>
  <si>
    <t>Se elabora al terminar el Ciclo 2.</t>
  </si>
  <si>
    <t>Redactar el informe el 29/10/2026.</t>
  </si>
  <si>
    <t>Nivel de cumplimiento del proceso</t>
  </si>
  <si>
    <t>Cumple = 1 punto, Parcial = 0,5 puntos, No cumple y Pendiente = 0, sobre el total de criterios.</t>
  </si>
  <si>
    <t>Control de la calidad (QC) del producto según ISO/IEC 25010:2023</t>
  </si>
  <si>
    <t>Cada subcaracterística se traduce a una comprobación concreta en TrazaDoc, con su método y sus casos relacionados.</t>
  </si>
  <si>
    <t>Característica</t>
  </si>
  <si>
    <t>Subcaracterística</t>
  </si>
  <si>
    <t>Qué se verifica en TrazaDoc</t>
  </si>
  <si>
    <t>Método y casos</t>
  </si>
  <si>
    <t>Criterio de aceptación</t>
  </si>
  <si>
    <t>Resultado</t>
  </si>
  <si>
    <t>Observaciones</t>
  </si>
  <si>
    <t>QC-01</t>
  </si>
  <si>
    <t>Adecuación funcional</t>
  </si>
  <si>
    <t>Completitud</t>
  </si>
  <si>
    <t>Las funciones cubren las 24 historias de usuario.</t>
  </si>
  <si>
    <t>Casos CP-01 a CP-51</t>
  </si>
  <si>
    <t>≥ 90 % de casos funcionales en PASS</t>
  </si>
  <si>
    <t>Ciclo 1: ver hoja Resumen y métricas.</t>
  </si>
  <si>
    <t>Se confirma con el Ciclo 2.</t>
  </si>
  <si>
    <t>QC-02</t>
  </si>
  <si>
    <t>Corrección</t>
  </si>
  <si>
    <t>La verificación detecta cualquier alteración y no acusa originales.</t>
  </si>
  <si>
    <t>INT-01 a INT-06</t>
  </si>
  <si>
    <t>100 % detectadas, 0 falsos positivos</t>
  </si>
  <si>
    <t>Ensayo local: 20/20 detectadas, 0 falsos positivos.</t>
  </si>
  <si>
    <t>Repetir en Azure (INT-01).</t>
  </si>
  <si>
    <t>QC-03</t>
  </si>
  <si>
    <t>Pertinencia</t>
  </si>
  <si>
    <t>Cada rol ve solo las funciones que necesita.</t>
  </si>
  <si>
    <t>Tabla de decisión; CP-04, CP-22, CP-25, CP-29</t>
  </si>
  <si>
    <t>Sin accesos indebidos</t>
  </si>
  <si>
    <t>CP-29 en PASS tras corregir DEF-06 (27/10/2026).</t>
  </si>
  <si>
    <t>QC-04</t>
  </si>
  <si>
    <t>Eficiencia de desempeño</t>
  </si>
  <si>
    <t>Comportamiento temporal</t>
  </si>
  <si>
    <t>Tiempo de verificación y de registro.</t>
  </si>
  <si>
    <t>REN-01, REN-02</t>
  </si>
  <si>
    <t>P95 ≤ 3000 ms</t>
  </si>
  <si>
    <t>Medición oficial: P95 = 2059 ms (27/10/2026); registro medio 2044 ms.</t>
  </si>
  <si>
    <t>El tiempo lo marca el corte de bloque de Fabric (2 s).</t>
  </si>
  <si>
    <t>QC-05</t>
  </si>
  <si>
    <t>Utilización de recursos</t>
  </si>
  <si>
    <t>Memoria del sistema completo en funcionamiento.</t>
  </si>
  <si>
    <t>docker stats</t>
  </si>
  <si>
    <t>Cabe en la VM de 4 GB</t>
  </si>
  <si>
    <t>Unos 510 MB para los 11 contenedores (medido el 25/10/2026).</t>
  </si>
  <si>
    <t>QC-06</t>
  </si>
  <si>
    <t>Capacidad</t>
  </si>
  <si>
    <t>Límite de tamaño de archivo y de registros listados.</t>
  </si>
  <si>
    <t>CP-16, CP-17, CP-31</t>
  </si>
  <si>
    <t>PDF ≤ 20 MB; listados con tope</t>
  </si>
  <si>
    <t>Rechazo de 25 MB comprobado; 10 y 30 MB pendientes.</t>
  </si>
  <si>
    <t>Listados limitados a 100 documentos y 200 eventos.</t>
  </si>
  <si>
    <t>QC-07</t>
  </si>
  <si>
    <t>Compatibilidad</t>
  </si>
  <si>
    <t>Coexistencia</t>
  </si>
  <si>
    <t>Los componentes funcionan aislados sin interferirse.</t>
  </si>
  <si>
    <t>Todos los contenedores arriba</t>
  </si>
  <si>
    <t>Red Docker propia; smoke test en PASS.</t>
  </si>
  <si>
    <t>QC-08</t>
  </si>
  <si>
    <t>Interoperabilidad</t>
  </si>
  <si>
    <t>La API es documentada y consumible por otras herramientas.</t>
  </si>
  <si>
    <t>docs/api/openapi.yaml</t>
  </si>
  <si>
    <t>Especificación válida</t>
  </si>
  <si>
    <t>OpenAPI de 18 endpoints validada con Redocly.</t>
  </si>
  <si>
    <t>QC-09</t>
  </si>
  <si>
    <t>Capacidad de interacción</t>
  </si>
  <si>
    <t>Reconocibilidad de la adecuación</t>
  </si>
  <si>
    <t>Un usuario entiende para qué sirve cada pantalla.</t>
  </si>
  <si>
    <t>Recorrido por rol</t>
  </si>
  <si>
    <t>Títulos y textos claros</t>
  </si>
  <si>
    <t>Capturas del plan de pruebas (Fig. 1 a 17).</t>
  </si>
  <si>
    <t>Confirmar con usuarios en el Ciclo 2.</t>
  </si>
  <si>
    <t>QC-10</t>
  </si>
  <si>
    <t>Aprendizaje</t>
  </si>
  <si>
    <t>Un usuario nuevo completa una tarea sin ayuda.</t>
  </si>
  <si>
    <t>Prueba exploratoria</t>
  </si>
  <si>
    <t>Tarea completada sin asistencia</t>
  </si>
  <si>
    <t>Hacer la prueba con una persona ajena al equipo.</t>
  </si>
  <si>
    <t>QC-11</t>
  </si>
  <si>
    <t>Operabilidad</t>
  </si>
  <si>
    <t>Las tareas se hacen en pocos pasos.</t>
  </si>
  <si>
    <t>CP-26 (selección en dos pasos)</t>
  </si>
  <si>
    <t>Flujos cortos</t>
  </si>
  <si>
    <t>Verificación en 3 pasos: elegir, cargar y comparar.</t>
  </si>
  <si>
    <t>QC-12</t>
  </si>
  <si>
    <t>Protección contra errores del usuario</t>
  </si>
  <si>
    <t>Se impide cargar archivos inválidos y se explica por qué.</t>
  </si>
  <si>
    <t>CP-17, CP-31</t>
  </si>
  <si>
    <t>Mensaje claro antes de enviar</t>
  </si>
  <si>
    <t>Validación de PDF y 20 MB en pantalla y en el servidor.</t>
  </si>
  <si>
    <t>QC-13</t>
  </si>
  <si>
    <t>Compromiso del usuario</t>
  </si>
  <si>
    <t>Interfaz consistente y agradable.</t>
  </si>
  <si>
    <t>Revisión visual</t>
  </si>
  <si>
    <t>Sin inconsistencias</t>
  </si>
  <si>
    <t>Estados en minúscula.</t>
  </si>
  <si>
    <t>DEF-05.</t>
  </si>
  <si>
    <t>QC-14</t>
  </si>
  <si>
    <t>Inclusividad</t>
  </si>
  <si>
    <t>Idioma, contraste y uso con teclado.</t>
  </si>
  <si>
    <t>Revisión de accesibilidad</t>
  </si>
  <si>
    <t>Español, contraste AA, navegable con teclado</t>
  </si>
  <si>
    <t>El sitio declara idioma español.</t>
  </si>
  <si>
    <t>Revisar contraste y teclado en el Ciclo 2.</t>
  </si>
  <si>
    <t>QC-15</t>
  </si>
  <si>
    <t>Asistencia al usuario y autodescripción</t>
  </si>
  <si>
    <t>Los mensajes de error dicen qué pasó y qué hacer.</t>
  </si>
  <si>
    <t>CP-02, CP-08, CP-27, CP-21</t>
  </si>
  <si>
    <t>Mensajes en español y accionables</t>
  </si>
  <si>
    <t>Mensajes claros; "Reenviar código" no reenvía.</t>
  </si>
  <si>
    <t>DEF-02.</t>
  </si>
  <si>
    <t>QC-16</t>
  </si>
  <si>
    <t>Fiabilidad</t>
  </si>
  <si>
    <t>Ausencia de fallos</t>
  </si>
  <si>
    <t>El sistema no muestra errores durante el uso normal.</t>
  </si>
  <si>
    <t>Recorrido completo</t>
  </si>
  <si>
    <t>0 errores en consola</t>
  </si>
  <si>
    <t>Recorrido de los 3 roles sin errores en la consola del navegador.</t>
  </si>
  <si>
    <t>QC-17</t>
  </si>
  <si>
    <t>Disponibilidad</t>
  </si>
  <si>
    <t>El sistema vuelve solo después de un reinicio.</t>
  </si>
  <si>
    <t>Reinicio de la VM</t>
  </si>
  <si>
    <t>Todos los contenedores reinician</t>
  </si>
  <si>
    <t>Política restart unless-stopped en Fabric y la aplicación.</t>
  </si>
  <si>
    <t>Confirmar con un reinicio de la VM en el Ciclo 2.</t>
  </si>
  <si>
    <t>QC-18</t>
  </si>
  <si>
    <t>Tolerancia a fallos</t>
  </si>
  <si>
    <t>Si la red blockchain cae, el sistema avisa sin romperse.</t>
  </si>
  <si>
    <t>Mensaje claro y sin éxito falso</t>
  </si>
  <si>
    <t>Prueba unitaria; un fallo de MongoDB ya no detiene el backend.</t>
  </si>
  <si>
    <t>QC-19</t>
  </si>
  <si>
    <t>Recuperabilidad</t>
  </si>
  <si>
    <t>Se puede restaurar la información tras un fallo.</t>
  </si>
  <si>
    <t>Respaldo con mongodump</t>
  </si>
  <si>
    <t>Restauración documentada</t>
  </si>
  <si>
    <t>Procedimiento en DESPLIEGUE-AZURE.md §9 y §10.</t>
  </si>
  <si>
    <t>Probar una restauración real.</t>
  </si>
  <si>
    <t>QC-20</t>
  </si>
  <si>
    <t>Seguridad</t>
  </si>
  <si>
    <t>Confidencialidad</t>
  </si>
  <si>
    <t>Cada rol ve solo lo que le corresponde; tráfico cifrado.</t>
  </si>
  <si>
    <t>CP-29, CP-37, HTTPS</t>
  </si>
  <si>
    <t>Sin exposición indebida</t>
  </si>
  <si>
    <t>HTTPS, huellas enmascaradas y documentos ajenos bloqueados (CP-29 en PASS).</t>
  </si>
  <si>
    <t>QC-21</t>
  </si>
  <si>
    <t>Los documentos y su historial no se pueden alterar sin detectarse.</t>
  </si>
  <si>
    <t>INT-01, TRZ-02</t>
  </si>
  <si>
    <t>Toda alteración detectada</t>
  </si>
  <si>
    <t>SHA-256 en un ledger inmutable; 20/20 detectadas.</t>
  </si>
  <si>
    <t>QC-22</t>
  </si>
  <si>
    <t>No repudio</t>
  </si>
  <si>
    <t>Cada acción queda con su identificador de transacción.</t>
  </si>
  <si>
    <t>TRZ-01, CP-20</t>
  </si>
  <si>
    <t>TX ID en cada evento</t>
  </si>
  <si>
    <t>Trazabilidad 20/20 con TX ID.</t>
  </si>
  <si>
    <t>QC-23</t>
  </si>
  <si>
    <t>Responsabilidad</t>
  </si>
  <si>
    <t>Cada evento registra quién lo hizo.</t>
  </si>
  <si>
    <t>Usuario en cada evento</t>
  </si>
  <si>
    <t>Columna Usuario en la trazabilidad.</t>
  </si>
  <si>
    <t>QC-24</t>
  </si>
  <si>
    <t>Autenticidad</t>
  </si>
  <si>
    <t>Solo entra quien tiene contraseña y acceso a su correo.</t>
  </si>
  <si>
    <t>CP-01 a CP-03</t>
  </si>
  <si>
    <t>Doble factor obligatorio</t>
  </si>
  <si>
    <t>Contraseña más código de 6 dígitos (5 minutos).</t>
  </si>
  <si>
    <t>QC-25</t>
  </si>
  <si>
    <t>Resistencia</t>
  </si>
  <si>
    <t>El sistema resiste intentos de fuerza bruta.</t>
  </si>
  <si>
    <t>CP-09, límite por IP</t>
  </si>
  <si>
    <t>Bloqueo y límite de intentos</t>
  </si>
  <si>
    <t>Bloqueo tras 5 intentos; 10 inicios de sesión por minuto por IP; registro de intentos fallidos.</t>
  </si>
  <si>
    <t>QC-26</t>
  </si>
  <si>
    <t>Mantenibilidad</t>
  </si>
  <si>
    <t>Modularidad</t>
  </si>
  <si>
    <t>El sistema está dividido en módulos independientes.</t>
  </si>
  <si>
    <t>Revisión de arquitectura</t>
  </si>
  <si>
    <t>Módulos con dependencias claras</t>
  </si>
  <si>
    <t>5 módulos (infra, identity, documents, ledger, verification, administration).</t>
  </si>
  <si>
    <t>QC-27</t>
  </si>
  <si>
    <t>Reusabilidad</t>
  </si>
  <si>
    <t>Hay componentes compartidos entre pantallas.</t>
  </si>
  <si>
    <t>Revisión de código</t>
  </si>
  <si>
    <t>Componentes reutilizables</t>
  </si>
  <si>
    <t>frontend/src/components/shared.</t>
  </si>
  <si>
    <t>QC-28</t>
  </si>
  <si>
    <t>Analizabilidad</t>
  </si>
  <si>
    <t>Los errores dejan registros útiles.</t>
  </si>
  <si>
    <t>docker logs backend</t>
  </si>
  <si>
    <t>Registros con causa</t>
  </si>
  <si>
    <t>Mensajes de error con contexto (por ejemplo, INCONSISTENCIA).</t>
  </si>
  <si>
    <t>QC-29</t>
  </si>
  <si>
    <t>Modificabilidad</t>
  </si>
  <si>
    <t>Un cambio se hace sin romper lo demás.</t>
  </si>
  <si>
    <t>Regresión automática</t>
  </si>
  <si>
    <t>Pruebas en verde tras cambios</t>
  </si>
  <si>
    <t>144 pruebas del backend en verde tras los cambios del 25/10/2026.</t>
  </si>
  <si>
    <t>QC-30</t>
  </si>
  <si>
    <t>Capacidad de ser probado</t>
  </si>
  <si>
    <t>El sistema tiene pruebas automatizadas.</t>
  </si>
  <si>
    <t>Cobertura de pruebas</t>
  </si>
  <si>
    <t>Cobertura del backend ≥ 80 %</t>
  </si>
  <si>
    <t>Cobertura del backend: 85 % de sentencias.</t>
  </si>
  <si>
    <t>QC-31</t>
  </si>
  <si>
    <t>Flexibilidad</t>
  </si>
  <si>
    <t>Adaptabilidad</t>
  </si>
  <si>
    <t>Funciona en distintos sistemas operativos.</t>
  </si>
  <si>
    <t>Windows (local) y Linux (Azure)</t>
  </si>
  <si>
    <t>Mismo sistema en ambos</t>
  </si>
  <si>
    <t>Desplegado en Windows 11 y en Ubuntu 24.04.</t>
  </si>
  <si>
    <t>QC-32</t>
  </si>
  <si>
    <t>Escalabilidad</t>
  </si>
  <si>
    <t>Soporta más carga agregando recursos.</t>
  </si>
  <si>
    <t>N/A en el MVP</t>
  </si>
  <si>
    <t>Fuera del alcance</t>
  </si>
  <si>
    <t>Las pruebas de carga a escala están excluidas del alcance.</t>
  </si>
  <si>
    <t>QC-33</t>
  </si>
  <si>
    <t>Instalabilidad</t>
  </si>
  <si>
    <t>Se instala con pocos pasos documentados.</t>
  </si>
  <si>
    <t>Un comando y una guía</t>
  </si>
  <si>
    <t>bash docker/up.sh; INSTALACION.md y DESPLIEGUE-AZURE.md.</t>
  </si>
  <si>
    <t>QC-34</t>
  </si>
  <si>
    <t>Reemplazabilidad</t>
  </si>
  <si>
    <t>Un componente se puede cambiar por otro equivalente.</t>
  </si>
  <si>
    <t>Interfaces desacopladas</t>
  </si>
  <si>
    <t>Proveedor de correo por SMTP estándar; la blockchain solo detrás del backend.</t>
  </si>
  <si>
    <t>QC-35</t>
  </si>
  <si>
    <t>Protección (safety)</t>
  </si>
  <si>
    <t>Todas</t>
  </si>
  <si>
    <t>Riesgos para personas o bienes físicos.</t>
  </si>
  <si>
    <t>No aplica</t>
  </si>
  <si>
    <t>El sistema no controla equipos ni procesos físicos.</t>
  </si>
  <si>
    <t>Nivel de calidad del producto</t>
  </si>
  <si>
    <t>Cumple = 1, Parcial = 0,5; se excluyen los N/A.</t>
  </si>
  <si>
    <t>Bitácora de ejecución (registro de pruebas)</t>
  </si>
  <si>
    <t>Registro cronológico según ISO/IEC/IEEE 29119-3: identificador, fecha, descripción e impacto.</t>
  </si>
  <si>
    <t>N.°</t>
  </si>
  <si>
    <t>Ciclo</t>
  </si>
  <si>
    <t>Actividad</t>
  </si>
  <si>
    <t>Impacto u observación</t>
  </si>
  <si>
    <t>15/10/2026</t>
  </si>
  <si>
    <t>Ciclo 1</t>
  </si>
  <si>
    <t>Ensayo de latencia</t>
  </si>
  <si>
    <t>P95 = 2040 ms</t>
  </si>
  <si>
    <t>Cumple la meta de 3000 ms; repetir en las mediciones oficiales.</t>
  </si>
  <si>
    <t>Regresión automática del backend</t>
  </si>
  <si>
    <t>npm test en backend/ (Jest).</t>
  </si>
  <si>
    <t>144 de 144 en PASS</t>
  </si>
  <si>
    <t>Incluye la nueva prueba del fallo de MongoDB.</t>
  </si>
  <si>
    <t>Pruebas del contrato inteligente</t>
  </si>
  <si>
    <t>go test ./... en chaincode/.</t>
  </si>
  <si>
    <t>Prueba e2e de la API (primera corrida)</t>
  </si>
  <si>
    <t>tests/e2e/e2e.sh con datos de corridas anteriores.</t>
  </si>
  <si>
    <t>46 de 47</t>
  </si>
  <si>
    <t>La falla era de la prueba (suponía una base vacía), no del sistema. Se ajustó el caso.</t>
  </si>
  <si>
    <t>Prueba e2e de la API (segunda corrida)</t>
  </si>
  <si>
    <t>tests/e2e/e2e.sh tras ajustar el caso dependiente de los datos.</t>
  </si>
  <si>
    <t>47 de 47 en PASS</t>
  </si>
  <si>
    <t>Prueba de integridad (INT-01)</t>
  </si>
  <si>
    <t>Registro y verificación de los 20 documentos sintéticos con su copia alterada.</t>
  </si>
  <si>
    <t>20/20 detectadas, 0 falsos positivos</t>
  </si>
  <si>
    <t>Informe en docs/evidencias/integridad-mutacion.md.</t>
  </si>
  <si>
    <t>Recorrido de la interfaz por rol</t>
  </si>
  <si>
    <t>Empleado, Verificador y Administrador, con 17 capturas.</t>
  </si>
  <si>
    <t>Sin errores en consola</t>
  </si>
  <si>
    <t>Se encontraron DEF-01, DEF-02 y DEF-05.</t>
  </si>
  <si>
    <t>Revisión de requerimientos sin implementar</t>
  </si>
  <si>
    <t>HU-022 CA-03 y HU-023.</t>
  </si>
  <si>
    <t>Se registraron DEF-03 y DEF-04.</t>
  </si>
  <si>
    <t>Caso CP-29 por API</t>
  </si>
  <si>
    <t>El Empleado 2 consulta un documento de otra persona.</t>
  </si>
  <si>
    <t>FAIL (HTTP 200)</t>
  </si>
  <si>
    <t>Se registró DEF-06.</t>
  </si>
  <si>
    <t>Corrección de DEF-03, DEF-04 y DEF-06</t>
  </si>
  <si>
    <t>Registro de intentos fallidos, aceptación de la política de datos y bloqueo de documentos ajenos, con sus pruebas automáticas.</t>
  </si>
  <si>
    <t>160 de 160 pruebas del backend en PASS</t>
  </si>
  <si>
    <t>Los 55 RF quedan implementados.</t>
  </si>
  <si>
    <t>Re-prueba de CP-11, CP-13 a CP-15 y CP-29</t>
  </si>
  <si>
    <t>Por API, en MongoDB y en el navegador.</t>
  </si>
  <si>
    <t>5 de 5 en PASS</t>
  </si>
  <si>
    <t>Defectos pasan a Corregido; falta re-probarlos en Azure.</t>
  </si>
  <si>
    <t>Regresión e2e</t>
  </si>
  <si>
    <t>tests/e2e/e2e.sh tras las correcciones.</t>
  </si>
  <si>
    <t>Medición oficial de latencia (KPI-3.1)</t>
  </si>
  <si>
    <t>50 verificaciones consecutivas de un contrato de 2,7 MB.</t>
  </si>
  <si>
    <t>P95 = 2059 ms</t>
  </si>
  <si>
    <t>Cumple la meta de 3000 ms.</t>
  </si>
  <si>
    <t>Ciclo 2</t>
  </si>
  <si>
    <t>Azure</t>
  </si>
  <si>
    <t>Despliegue del entorno de validación</t>
  </si>
  <si>
    <t>Despliegue con HTTPS en https://trazadoc-tesis.eastus2.cloudapp.azure.com.</t>
  </si>
  <si>
    <t>Desplegado</t>
  </si>
  <si>
    <t>Inicio del Ciclo 2.</t>
  </si>
  <si>
    <t>Estado del caso</t>
  </si>
  <si>
    <t>Estado del defecto</t>
  </si>
  <si>
    <t>Evaluación QA</t>
  </si>
  <si>
    <t>Evaluación QC</t>
  </si>
  <si>
    <t>Asignado</t>
  </si>
  <si>
    <t>Bloqueado</t>
  </si>
  <si>
    <t>En corrección</t>
  </si>
  <si>
    <t>No cumple</t>
  </si>
  <si>
    <t>Re-probado</t>
  </si>
  <si>
    <t>Cerrado</t>
  </si>
  <si>
    <t>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</si>
</sst>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4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26262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2" borderId="0" xfId="0" applyFill="1"/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4" fillId="0" borderId="0" xfId="0" applyFont="1"/>
    <xf numFmtId="0" fontId="1" fillId="0" borderId="0" xfId="0" applyFont="1"/>
    <xf numFmtId="164" fontId="1" fillId="0" borderId="0" xfId="0" applyNumberFormat="1" applyFont="1"/>
    <xf numFmtId="0" fontId="8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54"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9999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5"/>
  <sheetViews>
    <sheetView tabSelected="1" zoomScale="90" workbookViewId="0"/>
  </sheetViews>
  <sheetFormatPr baseColWidth="10" defaultColWidth="9.140625" defaultRowHeight="15" x14ac:dyDescent="0.25"/>
  <cols>
    <col min="1" max="1" width="30" customWidth="1"/>
    <col min="2" max="2" width="11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ht="25.5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ht="25.5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ht="25.5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ht="25.5" x14ac:dyDescent="0.25">
      <c r="A10" s="3" t="s">
        <v>14</v>
      </c>
      <c r="B10" s="4" t="s">
        <v>15</v>
      </c>
    </row>
    <row r="11" spans="1:2" x14ac:dyDescent="0.25">
      <c r="A11" s="3"/>
      <c r="B11" s="4"/>
    </row>
    <row r="12" spans="1:2" ht="25.5" x14ac:dyDescent="0.25">
      <c r="A12" s="3" t="s">
        <v>16</v>
      </c>
      <c r="B12" s="4" t="s">
        <v>17</v>
      </c>
    </row>
    <row r="13" spans="1:2" ht="25.5" x14ac:dyDescent="0.25">
      <c r="A13" s="3" t="s">
        <v>18</v>
      </c>
      <c r="B13" s="4" t="s">
        <v>19</v>
      </c>
    </row>
    <row r="14" spans="1:2" x14ac:dyDescent="0.25">
      <c r="A14" s="3"/>
      <c r="B14" s="4"/>
    </row>
    <row r="15" spans="1:2" x14ac:dyDescent="0.25">
      <c r="A15" s="5" t="s">
        <v>20</v>
      </c>
      <c r="B15" s="6"/>
    </row>
    <row r="16" spans="1:2" x14ac:dyDescent="0.25">
      <c r="A16" s="3" t="s">
        <v>21</v>
      </c>
      <c r="B16" s="4" t="s">
        <v>22</v>
      </c>
    </row>
    <row r="17" spans="1:2" ht="25.5" x14ac:dyDescent="0.25">
      <c r="A17" s="3" t="s">
        <v>23</v>
      </c>
      <c r="B17" s="4" t="s">
        <v>24</v>
      </c>
    </row>
    <row r="18" spans="1:2" x14ac:dyDescent="0.25">
      <c r="A18" s="3" t="s">
        <v>25</v>
      </c>
      <c r="B18" s="4" t="s">
        <v>26</v>
      </c>
    </row>
    <row r="19" spans="1:2" x14ac:dyDescent="0.25">
      <c r="A19" s="3" t="s">
        <v>27</v>
      </c>
      <c r="B19" s="4" t="s">
        <v>28</v>
      </c>
    </row>
    <row r="20" spans="1:2" x14ac:dyDescent="0.25">
      <c r="A20" s="3" t="s">
        <v>29</v>
      </c>
      <c r="B20" s="4" t="s">
        <v>30</v>
      </c>
    </row>
    <row r="21" spans="1:2" x14ac:dyDescent="0.25">
      <c r="A21" s="3" t="s">
        <v>31</v>
      </c>
      <c r="B21" s="4" t="s">
        <v>32</v>
      </c>
    </row>
    <row r="22" spans="1:2" x14ac:dyDescent="0.25">
      <c r="A22" s="3" t="s">
        <v>33</v>
      </c>
      <c r="B22" s="4" t="s">
        <v>34</v>
      </c>
    </row>
    <row r="23" spans="1:2" x14ac:dyDescent="0.25">
      <c r="A23" s="3"/>
      <c r="B23" s="4"/>
    </row>
    <row r="24" spans="1:2" ht="25.5" x14ac:dyDescent="0.25">
      <c r="A24" s="3" t="s">
        <v>35</v>
      </c>
      <c r="B24" s="4" t="s">
        <v>36</v>
      </c>
    </row>
    <row r="25" spans="1:2" ht="25.5" x14ac:dyDescent="0.25">
      <c r="A25" s="3" t="s">
        <v>37</v>
      </c>
      <c r="B25" s="4" t="s">
        <v>38</v>
      </c>
    </row>
    <row r="26" spans="1:2" ht="25.5" x14ac:dyDescent="0.25">
      <c r="A26" s="3" t="s">
        <v>39</v>
      </c>
      <c r="B26" s="4" t="s">
        <v>40</v>
      </c>
    </row>
    <row r="27" spans="1:2" x14ac:dyDescent="0.25">
      <c r="A27" s="3"/>
      <c r="B27" s="4"/>
    </row>
    <row r="28" spans="1:2" x14ac:dyDescent="0.25">
      <c r="A28" s="5" t="s">
        <v>41</v>
      </c>
      <c r="B28" s="6"/>
    </row>
    <row r="29" spans="1:2" ht="25.5" x14ac:dyDescent="0.25">
      <c r="A29" s="3" t="s">
        <v>42</v>
      </c>
      <c r="B29" s="4" t="s">
        <v>43</v>
      </c>
    </row>
    <row r="30" spans="1:2" x14ac:dyDescent="0.25">
      <c r="A30" s="3" t="s">
        <v>44</v>
      </c>
      <c r="B30" s="4" t="s">
        <v>45</v>
      </c>
    </row>
    <row r="31" spans="1:2" ht="25.5" x14ac:dyDescent="0.25">
      <c r="A31" s="3" t="s">
        <v>46</v>
      </c>
      <c r="B31" s="4" t="s">
        <v>47</v>
      </c>
    </row>
    <row r="32" spans="1:2" ht="25.5" x14ac:dyDescent="0.25">
      <c r="A32" s="3" t="s">
        <v>48</v>
      </c>
      <c r="B32" s="4" t="s">
        <v>49</v>
      </c>
    </row>
    <row r="33" spans="1:2" x14ac:dyDescent="0.25">
      <c r="A33" s="3" t="s">
        <v>50</v>
      </c>
      <c r="B33" s="4" t="s">
        <v>51</v>
      </c>
    </row>
    <row r="35" spans="1:2" x14ac:dyDescent="0.25">
      <c r="A35" s="7"/>
      <c r="B35" s="2" t="s">
        <v>52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1"/>
  <sheetViews>
    <sheetView zoomScale="90" workbookViewId="0"/>
  </sheetViews>
  <sheetFormatPr baseColWidth="10" defaultColWidth="9.140625" defaultRowHeight="15" x14ac:dyDescent="0.25"/>
  <cols>
    <col min="1" max="1" width="46" customWidth="1"/>
    <col min="2" max="4" width="16" customWidth="1"/>
    <col min="5" max="5" width="18" customWidth="1"/>
    <col min="6" max="6" width="40" customWidth="1"/>
  </cols>
  <sheetData>
    <row r="1" spans="1:6" ht="18" x14ac:dyDescent="0.25">
      <c r="A1" s="1" t="s">
        <v>53</v>
      </c>
    </row>
    <row r="2" spans="1:6" x14ac:dyDescent="0.25">
      <c r="A2" s="2" t="s">
        <v>54</v>
      </c>
    </row>
    <row r="4" spans="1:6" x14ac:dyDescent="0.25">
      <c r="A4" s="8" t="s">
        <v>55</v>
      </c>
      <c r="B4" s="8" t="s">
        <v>56</v>
      </c>
      <c r="C4" s="8" t="s">
        <v>57</v>
      </c>
    </row>
    <row r="5" spans="1:6" x14ac:dyDescent="0.25">
      <c r="A5" s="9" t="s">
        <v>58</v>
      </c>
      <c r="B5" s="9">
        <f>COUNTA('Casos de prueba'!$A$5:$A$66)</f>
        <v>62</v>
      </c>
      <c r="C5" s="9">
        <f>COUNTA('Casos de prueba'!$A$5:$A$66)</f>
        <v>62</v>
      </c>
    </row>
    <row r="6" spans="1:6" x14ac:dyDescent="0.25">
      <c r="A6" s="9" t="s">
        <v>59</v>
      </c>
      <c r="B6" s="9">
        <f>COUNTIF('Casos de prueba'!$R$5:$R$66,"PASS")</f>
        <v>50</v>
      </c>
      <c r="C6" s="9">
        <f>COUNTIF('Casos de prueba'!$X$5:$X$66,"PASS")</f>
        <v>0</v>
      </c>
    </row>
    <row r="7" spans="1:6" x14ac:dyDescent="0.25">
      <c r="A7" s="9" t="s">
        <v>60</v>
      </c>
      <c r="B7" s="9">
        <f>COUNTIF('Casos de prueba'!$R$5:$R$66,"FAIL")</f>
        <v>0</v>
      </c>
      <c r="C7" s="9">
        <f>COUNTIF('Casos de prueba'!$X$5:$X$66,"FAIL")</f>
        <v>0</v>
      </c>
    </row>
    <row r="8" spans="1:6" x14ac:dyDescent="0.25">
      <c r="A8" s="9" t="s">
        <v>61</v>
      </c>
      <c r="B8" s="9">
        <f>COUNTIF('Casos de prueba'!$R$5:$R$66,"Bloqueado")</f>
        <v>0</v>
      </c>
      <c r="C8" s="9">
        <f>COUNTIF('Casos de prueba'!$X$5:$X$66,"Bloqueado")</f>
        <v>0</v>
      </c>
    </row>
    <row r="9" spans="1:6" x14ac:dyDescent="0.25">
      <c r="A9" s="9" t="s">
        <v>62</v>
      </c>
      <c r="B9" s="9">
        <f>COUNTIF('Casos de prueba'!$R$5:$R$66,"No ejecutado")</f>
        <v>12</v>
      </c>
      <c r="C9" s="9">
        <f>COUNTIF('Casos de prueba'!$X$5:$X$66,"No ejecutado")</f>
        <v>62</v>
      </c>
    </row>
    <row r="10" spans="1:6" x14ac:dyDescent="0.25">
      <c r="A10" s="9" t="s">
        <v>63</v>
      </c>
      <c r="B10" s="9">
        <f>B6+B7</f>
        <v>50</v>
      </c>
      <c r="C10" s="9">
        <f>C6+C7</f>
        <v>0</v>
      </c>
    </row>
    <row r="11" spans="1:6" x14ac:dyDescent="0.25">
      <c r="A11" s="9" t="s">
        <v>64</v>
      </c>
      <c r="B11" s="10">
        <f>IF(B5=0,0,B10/B5)</f>
        <v>0.80645161290322576</v>
      </c>
      <c r="C11" s="10">
        <f>IF(C5=0,0,C10/C5)</f>
        <v>0</v>
      </c>
    </row>
    <row r="12" spans="1:6" x14ac:dyDescent="0.25">
      <c r="A12" s="9" t="s">
        <v>65</v>
      </c>
      <c r="B12" s="10">
        <f>IF(B10=0,0,B6/B10)</f>
        <v>1</v>
      </c>
      <c r="C12" s="10">
        <f>IF(C10=0,0,C6/C10)</f>
        <v>0</v>
      </c>
    </row>
    <row r="14" spans="1:6" x14ac:dyDescent="0.25">
      <c r="A14" s="8" t="s">
        <v>66</v>
      </c>
      <c r="B14" s="8" t="s">
        <v>56</v>
      </c>
      <c r="C14" s="8" t="s">
        <v>57</v>
      </c>
      <c r="D14" s="8" t="s">
        <v>67</v>
      </c>
      <c r="E14" s="8" t="s">
        <v>68</v>
      </c>
      <c r="F14" s="8" t="s">
        <v>69</v>
      </c>
    </row>
    <row r="15" spans="1:6" x14ac:dyDescent="0.25">
      <c r="A15" s="9" t="s">
        <v>70</v>
      </c>
      <c r="B15" s="9">
        <f>COUNTIFS('Casos de prueba'!$B$5:$B$66,"Funcional",'Casos de prueba'!$R$5:$R$66,"PASS")</f>
        <v>45</v>
      </c>
      <c r="C15" s="9">
        <f>COUNTIFS('Casos de prueba'!$B$5:$B$66,"Funcional",'Casos de prueba'!$X$5:$X$66,"PASS")</f>
        <v>0</v>
      </c>
      <c r="D15" s="11">
        <v>0.9</v>
      </c>
      <c r="E15" s="9" t="str">
        <f>IF(COUNTIFS('Casos de prueba'!$B$5:$B$66,"Funcional",'Casos de prueba'!$X$5:$X$66,"No ejecutado")=COUNTIF('Casos de prueba'!$B$5:$B$66,"Funcional"),"Pendiente",IF(C16&gt;=D15,"Cumple","No cumple"))</f>
        <v>Pendiente</v>
      </c>
      <c r="F15" s="9" t="s">
        <v>71</v>
      </c>
    </row>
    <row r="16" spans="1:6" x14ac:dyDescent="0.25">
      <c r="A16" s="9" t="s">
        <v>72</v>
      </c>
      <c r="B16" s="10">
        <f>B15/COUNTIF('Casos de prueba'!$B$5:$B$66,"Funcional")</f>
        <v>0.88235294117647056</v>
      </c>
      <c r="C16" s="10">
        <f>C15/COUNTIF('Casos de prueba'!$B$5:$B$66,"Funcional")</f>
        <v>0</v>
      </c>
      <c r="D16" s="9" t="s">
        <v>73</v>
      </c>
      <c r="E16" s="9"/>
      <c r="F16" s="9" t="s">
        <v>74</v>
      </c>
    </row>
    <row r="17" spans="1:6" ht="25.5" x14ac:dyDescent="0.25">
      <c r="A17" s="9" t="s">
        <v>75</v>
      </c>
      <c r="B17" s="9">
        <v>20</v>
      </c>
      <c r="C17" s="12"/>
      <c r="D17" s="9">
        <v>20</v>
      </c>
      <c r="E17" s="9" t="str">
        <f>IF(C17="","Pendiente",IF(C17&gt;=D17,"Cumple","No cumple"))</f>
        <v>Pendiente</v>
      </c>
      <c r="F17" s="9" t="s">
        <v>76</v>
      </c>
    </row>
    <row r="18" spans="1:6" ht="25.5" x14ac:dyDescent="0.25">
      <c r="A18" s="9" t="s">
        <v>77</v>
      </c>
      <c r="B18" s="9">
        <v>0</v>
      </c>
      <c r="C18" s="12"/>
      <c r="D18" s="9">
        <v>0</v>
      </c>
      <c r="E18" s="9" t="str">
        <f>IF(C18="","Pendiente",IF(C18&lt;=D18,"Cumple","No cumple"))</f>
        <v>Pendiente</v>
      </c>
      <c r="F18" s="9" t="s">
        <v>78</v>
      </c>
    </row>
    <row r="19" spans="1:6" x14ac:dyDescent="0.25">
      <c r="A19" s="9" t="s">
        <v>79</v>
      </c>
      <c r="B19" s="9">
        <v>2059</v>
      </c>
      <c r="C19" s="12"/>
      <c r="D19" s="9">
        <v>3000</v>
      </c>
      <c r="E19" s="9" t="str">
        <f>IF(C19="","Pendiente",IF(C19&lt;=D19,"Cumple","No cumple"))</f>
        <v>Pendiente</v>
      </c>
      <c r="F19" s="9" t="s">
        <v>80</v>
      </c>
    </row>
    <row r="20" spans="1:6" ht="25.5" x14ac:dyDescent="0.25">
      <c r="A20" s="9" t="s">
        <v>81</v>
      </c>
      <c r="B20" s="12"/>
      <c r="C20" s="12"/>
      <c r="D20" s="9">
        <v>17</v>
      </c>
      <c r="E20" s="9" t="str">
        <f>IF(C20="","Pendiente",IF(C20&gt;=D20,"Cumple","No cumple"))</f>
        <v>Pendiente</v>
      </c>
      <c r="F20" s="9" t="s">
        <v>82</v>
      </c>
    </row>
    <row r="22" spans="1:6" x14ac:dyDescent="0.25">
      <c r="A22" s="8" t="s">
        <v>83</v>
      </c>
      <c r="B22" s="8" t="s">
        <v>84</v>
      </c>
      <c r="C22" s="8" t="s">
        <v>85</v>
      </c>
      <c r="D22" s="8" t="s">
        <v>86</v>
      </c>
      <c r="E22" s="8" t="s">
        <v>87</v>
      </c>
    </row>
    <row r="23" spans="1:6" x14ac:dyDescent="0.25">
      <c r="A23" s="9" t="s">
        <v>88</v>
      </c>
      <c r="B23" s="9">
        <f>COUNTIFS(Defectos!$K$5:$K$40,"Crítica",Defectos!$N$5:$N$40,"&lt;&gt;Cerrado",Defectos!$N$5:$N$40,"&lt;&gt;Rechazado")</f>
        <v>0</v>
      </c>
      <c r="C23" s="9">
        <f>COUNTIFS(Defectos!$K$5:$K$40,"Crítica",Defectos!$N$5:$N$40,"Cerrado")</f>
        <v>0</v>
      </c>
      <c r="D23" s="9">
        <f>COUNTIF(Defectos!$K$5:$K$40,"Crítica")</f>
        <v>0</v>
      </c>
      <c r="E23" s="11">
        <f>IF(D23=0,0,C23/D23)</f>
        <v>0</v>
      </c>
    </row>
    <row r="24" spans="1:6" x14ac:dyDescent="0.25">
      <c r="A24" s="9" t="s">
        <v>89</v>
      </c>
      <c r="B24" s="9">
        <f>COUNTIFS(Defectos!$K$5:$K$40,"Alta",Defectos!$N$5:$N$40,"&lt;&gt;Cerrado",Defectos!$N$5:$N$40,"&lt;&gt;Rechazado")</f>
        <v>1</v>
      </c>
      <c r="C24" s="9">
        <f>COUNTIFS(Defectos!$K$5:$K$40,"Alta",Defectos!$N$5:$N$40,"Cerrado")</f>
        <v>0</v>
      </c>
      <c r="D24" s="9">
        <f>COUNTIF(Defectos!$K$5:$K$40,"Alta")</f>
        <v>1</v>
      </c>
      <c r="E24" s="11">
        <f>IF(D24=0,0,C24/D24)</f>
        <v>0</v>
      </c>
    </row>
    <row r="25" spans="1:6" x14ac:dyDescent="0.25">
      <c r="A25" s="9" t="s">
        <v>90</v>
      </c>
      <c r="B25" s="9">
        <f>COUNTIFS(Defectos!$K$5:$K$40,"Media",Defectos!$N$5:$N$40,"&lt;&gt;Cerrado",Defectos!$N$5:$N$40,"&lt;&gt;Rechazado")</f>
        <v>3</v>
      </c>
      <c r="C25" s="9">
        <f>COUNTIFS(Defectos!$K$5:$K$40,"Media",Defectos!$N$5:$N$40,"Cerrado")</f>
        <v>0</v>
      </c>
      <c r="D25" s="9">
        <f>COUNTIF(Defectos!$K$5:$K$40,"Media")</f>
        <v>3</v>
      </c>
      <c r="E25" s="11">
        <f>IF(D25=0,0,C25/D25)</f>
        <v>0</v>
      </c>
    </row>
    <row r="26" spans="1:6" x14ac:dyDescent="0.25">
      <c r="A26" s="9" t="s">
        <v>91</v>
      </c>
      <c r="B26" s="9">
        <f>COUNTIFS(Defectos!$K$5:$K$40,"Baja",Defectos!$N$5:$N$40,"&lt;&gt;Cerrado",Defectos!$N$5:$N$40,"&lt;&gt;Rechazado")</f>
        <v>2</v>
      </c>
      <c r="C26" s="9">
        <f>COUNTIFS(Defectos!$K$5:$K$40,"Baja",Defectos!$N$5:$N$40,"Cerrado")</f>
        <v>0</v>
      </c>
      <c r="D26" s="9">
        <f>COUNTIF(Defectos!$K$5:$K$40,"Baja")</f>
        <v>2</v>
      </c>
      <c r="E26" s="11">
        <f>IF(D26=0,0,C26/D26)</f>
        <v>0</v>
      </c>
    </row>
    <row r="27" spans="1:6" x14ac:dyDescent="0.25">
      <c r="A27" s="13" t="s">
        <v>86</v>
      </c>
      <c r="B27" s="13">
        <f>SUM(B23:B26)</f>
        <v>6</v>
      </c>
      <c r="C27" s="13">
        <f>SUM(C23:C26)</f>
        <v>0</v>
      </c>
      <c r="D27" s="13">
        <f>SUM(D23:D26)</f>
        <v>6</v>
      </c>
      <c r="E27" s="14">
        <f>IF(D27=0,0,C27/D27)</f>
        <v>0</v>
      </c>
      <c r="F27" s="15"/>
    </row>
    <row r="28" spans="1:6" x14ac:dyDescent="0.25">
      <c r="A28" s="9" t="s">
        <v>92</v>
      </c>
      <c r="B28" s="9" t="str">
        <f>IF(B23&gt;0,"Sí: no se puede cerrar","No")</f>
        <v>No</v>
      </c>
    </row>
    <row r="30" spans="1:6" x14ac:dyDescent="0.25">
      <c r="A30" s="8" t="s">
        <v>93</v>
      </c>
      <c r="B30" s="8" t="s">
        <v>94</v>
      </c>
      <c r="C30" s="8" t="s">
        <v>95</v>
      </c>
      <c r="D30" s="8" t="s">
        <v>96</v>
      </c>
      <c r="E30" s="8" t="s">
        <v>97</v>
      </c>
      <c r="F30" s="8" t="s">
        <v>98</v>
      </c>
    </row>
    <row r="31" spans="1:6" x14ac:dyDescent="0.25">
      <c r="A31" s="9" t="s">
        <v>99</v>
      </c>
      <c r="B31" s="9">
        <f>COUNTIF('Casos de prueba'!$C$5:$C$66,A31)</f>
        <v>15</v>
      </c>
      <c r="C31" s="9">
        <f>COUNTIFS('Casos de prueba'!$C$5:$C$66,A31,'Casos de prueba'!$R$5:$R$66,"PASS")</f>
        <v>14</v>
      </c>
      <c r="D31" s="9">
        <f>COUNTIFS('Casos de prueba'!$C$5:$C$66,A31,'Casos de prueba'!$X$5:$X$66,"PASS")</f>
        <v>0</v>
      </c>
      <c r="E31" s="9">
        <f>COUNTIFS('Casos de prueba'!$C$5:$C$66,A31,'Casos de prueba'!$X$5:$X$66,"FAIL")</f>
        <v>0</v>
      </c>
      <c r="F31" s="11">
        <f t="shared" ref="F31:F36" si="0">IF(B31=0,0,D31/B31)</f>
        <v>0</v>
      </c>
    </row>
    <row r="32" spans="1:6" x14ac:dyDescent="0.25">
      <c r="A32" s="9" t="s">
        <v>100</v>
      </c>
      <c r="B32" s="9">
        <f>COUNTIF('Casos de prueba'!$C$5:$C$66,A32)</f>
        <v>10</v>
      </c>
      <c r="C32" s="9">
        <f>COUNTIFS('Casos de prueba'!$C$5:$C$66,A32,'Casos de prueba'!$R$5:$R$66,"PASS")</f>
        <v>9</v>
      </c>
      <c r="D32" s="9">
        <f>COUNTIFS('Casos de prueba'!$C$5:$C$66,A32,'Casos de prueba'!$X$5:$X$66,"PASS")</f>
        <v>0</v>
      </c>
      <c r="E32" s="9">
        <f>COUNTIFS('Casos de prueba'!$C$5:$C$66,A32,'Casos de prueba'!$X$5:$X$66,"FAIL")</f>
        <v>0</v>
      </c>
      <c r="F32" s="11">
        <f t="shared" si="0"/>
        <v>0</v>
      </c>
    </row>
    <row r="33" spans="1:6" ht="25.5" x14ac:dyDescent="0.25">
      <c r="A33" s="9" t="s">
        <v>101</v>
      </c>
      <c r="B33" s="9">
        <f>COUNTIF('Casos de prueba'!$C$5:$C$66,A33)</f>
        <v>14</v>
      </c>
      <c r="C33" s="9">
        <f>COUNTIFS('Casos de prueba'!$C$5:$C$66,A33,'Casos de prueba'!$R$5:$R$66,"PASS")</f>
        <v>13</v>
      </c>
      <c r="D33" s="9">
        <f>COUNTIFS('Casos de prueba'!$C$5:$C$66,A33,'Casos de prueba'!$X$5:$X$66,"PASS")</f>
        <v>0</v>
      </c>
      <c r="E33" s="9">
        <f>COUNTIFS('Casos de prueba'!$C$5:$C$66,A33,'Casos de prueba'!$X$5:$X$66,"FAIL")</f>
        <v>0</v>
      </c>
      <c r="F33" s="11">
        <f t="shared" si="0"/>
        <v>0</v>
      </c>
    </row>
    <row r="34" spans="1:6" x14ac:dyDescent="0.25">
      <c r="A34" s="9" t="s">
        <v>102</v>
      </c>
      <c r="B34" s="9">
        <f>COUNTIF('Casos de prueba'!$C$5:$C$66,A34)</f>
        <v>10</v>
      </c>
      <c r="C34" s="9">
        <f>COUNTIFS('Casos de prueba'!$C$5:$C$66,A34,'Casos de prueba'!$R$5:$R$66,"PASS")</f>
        <v>7</v>
      </c>
      <c r="D34" s="9">
        <f>COUNTIFS('Casos de prueba'!$C$5:$C$66,A34,'Casos de prueba'!$X$5:$X$66,"PASS")</f>
        <v>0</v>
      </c>
      <c r="E34" s="9">
        <f>COUNTIFS('Casos de prueba'!$C$5:$C$66,A34,'Casos de prueba'!$X$5:$X$66,"FAIL")</f>
        <v>0</v>
      </c>
      <c r="F34" s="11">
        <f t="shared" si="0"/>
        <v>0</v>
      </c>
    </row>
    <row r="35" spans="1:6" x14ac:dyDescent="0.25">
      <c r="A35" s="9" t="s">
        <v>103</v>
      </c>
      <c r="B35" s="9">
        <f>COUNTIF('Casos de prueba'!$C$5:$C$66,A35)</f>
        <v>2</v>
      </c>
      <c r="C35" s="9">
        <f>COUNTIFS('Casos de prueba'!$C$5:$C$66,A35,'Casos de prueba'!$R$5:$R$66,"PASS")</f>
        <v>2</v>
      </c>
      <c r="D35" s="9">
        <f>COUNTIFS('Casos de prueba'!$C$5:$C$66,A35,'Casos de prueba'!$X$5:$X$66,"PASS")</f>
        <v>0</v>
      </c>
      <c r="E35" s="9">
        <f>COUNTIFS('Casos de prueba'!$C$5:$C$66,A35,'Casos de prueba'!$X$5:$X$66,"FAIL")</f>
        <v>0</v>
      </c>
      <c r="F35" s="11">
        <f t="shared" si="0"/>
        <v>0</v>
      </c>
    </row>
    <row r="36" spans="1:6" x14ac:dyDescent="0.25">
      <c r="A36" s="9" t="s">
        <v>104</v>
      </c>
      <c r="B36" s="9">
        <f>COUNTIF('Casos de prueba'!$C$5:$C$66,A36)</f>
        <v>11</v>
      </c>
      <c r="C36" s="9">
        <f>COUNTIFS('Casos de prueba'!$C$5:$C$66,A36,'Casos de prueba'!$R$5:$R$66,"PASS")</f>
        <v>5</v>
      </c>
      <c r="D36" s="9">
        <f>COUNTIFS('Casos de prueba'!$C$5:$C$66,A36,'Casos de prueba'!$X$5:$X$66,"PASS")</f>
        <v>0</v>
      </c>
      <c r="E36" s="9">
        <f>COUNTIFS('Casos de prueba'!$C$5:$C$66,A36,'Casos de prueba'!$X$5:$X$66,"FAIL")</f>
        <v>0</v>
      </c>
      <c r="F36" s="11">
        <f t="shared" si="0"/>
        <v>0</v>
      </c>
    </row>
    <row r="38" spans="1:6" x14ac:dyDescent="0.25">
      <c r="A38" s="8" t="s">
        <v>105</v>
      </c>
      <c r="B38" s="8" t="s">
        <v>106</v>
      </c>
    </row>
    <row r="39" spans="1:6" x14ac:dyDescent="0.25">
      <c r="A39" s="9" t="s">
        <v>107</v>
      </c>
      <c r="B39" s="10">
        <f>'QA Proceso'!C31</f>
        <v>0.92</v>
      </c>
    </row>
    <row r="40" spans="1:6" x14ac:dyDescent="0.25">
      <c r="A40" s="9" t="s">
        <v>108</v>
      </c>
      <c r="B40" s="10">
        <f>'QC Producto'!D41</f>
        <v>0.84848484848484851</v>
      </c>
    </row>
    <row r="41" spans="1:6" x14ac:dyDescent="0.25">
      <c r="A41" s="9" t="s">
        <v>109</v>
      </c>
      <c r="B41" s="9" t="str">
        <f>Trazabilidad!M35</f>
        <v>0 de 30 cumplen</v>
      </c>
    </row>
  </sheetData>
  <conditionalFormatting sqref="E15:E20">
    <cfRule type="cellIs" dxfId="53" priority="1" operator="equal">
      <formula>"PASS"</formula>
    </cfRule>
    <cfRule type="cellIs" dxfId="52" priority="2" operator="equal">
      <formula>"FAIL"</formula>
    </cfRule>
    <cfRule type="cellIs" dxfId="51" priority="3" operator="equal">
      <formula>"Bloqueado"</formula>
    </cfRule>
    <cfRule type="cellIs" dxfId="50" priority="4" operator="equal">
      <formula>"No ejecutado"</formula>
    </cfRule>
    <cfRule type="cellIs" dxfId="49" priority="5" operator="equal">
      <formula>"Cumple"</formula>
    </cfRule>
    <cfRule type="cellIs" dxfId="48" priority="6" operator="equal">
      <formula>"No cumple"</formula>
    </cfRule>
    <cfRule type="cellIs" dxfId="47" priority="7" operator="equal">
      <formula>"Parcial"</formula>
    </cfRule>
    <cfRule type="cellIs" dxfId="46" priority="8" operator="equal">
      <formula>"Pendiente"</formula>
    </cfRule>
  </conditionalFormatting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8" customWidth="1"/>
    <col min="4" max="4" width="11" customWidth="1"/>
    <col min="5" max="5" width="10" customWidth="1"/>
    <col min="6" max="6" width="16" customWidth="1"/>
    <col min="7" max="7" width="24" customWidth="1"/>
    <col min="8" max="8" width="9" customWidth="1"/>
    <col min="9" max="9" width="28" customWidth="1"/>
    <col min="10" max="10" width="30" customWidth="1"/>
    <col min="11" max="11" width="18" customWidth="1"/>
    <col min="12" max="12" width="34" customWidth="1"/>
    <col min="13" max="13" width="14" customWidth="1"/>
    <col min="14" max="14" width="15" customWidth="1"/>
    <col min="15" max="15" width="11" customWidth="1"/>
    <col min="16" max="16" width="18" customWidth="1"/>
    <col min="17" max="17" width="36" customWidth="1"/>
    <col min="18" max="18" width="12" customWidth="1"/>
    <col min="19" max="19" width="30" customWidth="1"/>
    <col min="20" max="20" width="9" customWidth="1"/>
    <col min="21" max="21" width="11" customWidth="1"/>
    <col min="22" max="22" width="18" customWidth="1"/>
    <col min="23" max="23" width="36" customWidth="1"/>
    <col min="24" max="24" width="12" customWidth="1"/>
    <col min="25" max="25" width="30" customWidth="1"/>
    <col min="26" max="26" width="9" customWidth="1"/>
  </cols>
  <sheetData>
    <row r="1" spans="1:26" ht="18" x14ac:dyDescent="0.25">
      <c r="A1" s="1" t="s">
        <v>110</v>
      </c>
    </row>
    <row r="2" spans="1:26" x14ac:dyDescent="0.25">
      <c r="A2" s="2" t="s">
        <v>111</v>
      </c>
    </row>
    <row r="3" spans="1:26" x14ac:dyDescent="0.25">
      <c r="O3" s="19" t="s">
        <v>112</v>
      </c>
      <c r="P3" s="20"/>
      <c r="Q3" s="20"/>
      <c r="R3" s="20"/>
      <c r="S3" s="20"/>
      <c r="T3" s="20"/>
      <c r="U3" s="19" t="s">
        <v>113</v>
      </c>
      <c r="V3" s="20"/>
      <c r="W3" s="20"/>
      <c r="X3" s="20"/>
      <c r="Y3" s="20"/>
      <c r="Z3" s="20"/>
    </row>
    <row r="4" spans="1:26" ht="38.25" x14ac:dyDescent="0.25">
      <c r="A4" s="8" t="s">
        <v>114</v>
      </c>
      <c r="B4" s="8" t="s">
        <v>115</v>
      </c>
      <c r="C4" s="8" t="s">
        <v>116</v>
      </c>
      <c r="D4" s="8" t="s">
        <v>117</v>
      </c>
      <c r="E4" s="8" t="s">
        <v>118</v>
      </c>
      <c r="F4" s="8" t="s">
        <v>119</v>
      </c>
      <c r="G4" s="8" t="s">
        <v>120</v>
      </c>
      <c r="H4" s="8" t="s">
        <v>121</v>
      </c>
      <c r="I4" s="8" t="s">
        <v>122</v>
      </c>
      <c r="J4" s="8" t="s">
        <v>123</v>
      </c>
      <c r="K4" s="8" t="s">
        <v>124</v>
      </c>
      <c r="L4" s="8" t="s">
        <v>125</v>
      </c>
      <c r="M4" s="8" t="s">
        <v>126</v>
      </c>
      <c r="N4" s="8" t="s">
        <v>127</v>
      </c>
      <c r="O4" s="8" t="s">
        <v>128</v>
      </c>
      <c r="P4" s="8" t="s">
        <v>129</v>
      </c>
      <c r="Q4" s="8" t="s">
        <v>130</v>
      </c>
      <c r="R4" s="8" t="s">
        <v>131</v>
      </c>
      <c r="S4" s="8" t="s">
        <v>132</v>
      </c>
      <c r="T4" s="8" t="s">
        <v>133</v>
      </c>
      <c r="U4" s="8" t="s">
        <v>128</v>
      </c>
      <c r="V4" s="8" t="s">
        <v>129</v>
      </c>
      <c r="W4" s="8" t="s">
        <v>130</v>
      </c>
      <c r="X4" s="8" t="s">
        <v>131</v>
      </c>
      <c r="Y4" s="8" t="s">
        <v>132</v>
      </c>
      <c r="Z4" s="8" t="s">
        <v>133</v>
      </c>
    </row>
    <row r="5" spans="1:26" ht="90" customHeight="1" x14ac:dyDescent="0.25">
      <c r="A5" s="9" t="s">
        <v>134</v>
      </c>
      <c r="B5" s="9" t="s">
        <v>135</v>
      </c>
      <c r="C5" s="9" t="s">
        <v>99</v>
      </c>
      <c r="D5" s="9" t="s">
        <v>136</v>
      </c>
      <c r="E5" s="9" t="s">
        <v>137</v>
      </c>
      <c r="F5" s="9" t="s">
        <v>138</v>
      </c>
      <c r="G5" s="9" t="s">
        <v>139</v>
      </c>
      <c r="H5" s="9" t="s">
        <v>89</v>
      </c>
      <c r="I5" s="9" t="s">
        <v>140</v>
      </c>
      <c r="J5" s="9" t="s">
        <v>141</v>
      </c>
      <c r="K5" s="9" t="s">
        <v>142</v>
      </c>
      <c r="L5" s="9" t="s">
        <v>143</v>
      </c>
      <c r="M5" s="9" t="s">
        <v>144</v>
      </c>
      <c r="N5" s="9" t="s">
        <v>145</v>
      </c>
      <c r="O5" s="9" t="s">
        <v>146</v>
      </c>
      <c r="P5" s="9" t="s">
        <v>147</v>
      </c>
      <c r="Q5" s="9" t="s">
        <v>148</v>
      </c>
      <c r="R5" s="9" t="s">
        <v>59</v>
      </c>
      <c r="S5" s="9" t="s">
        <v>149</v>
      </c>
      <c r="T5" s="9"/>
      <c r="U5" s="12"/>
      <c r="V5" s="12"/>
      <c r="W5" s="12"/>
      <c r="X5" s="12" t="s">
        <v>150</v>
      </c>
      <c r="Y5" s="12"/>
      <c r="Z5" s="12"/>
    </row>
    <row r="6" spans="1:26" ht="90" customHeight="1" x14ac:dyDescent="0.25">
      <c r="A6" s="9" t="s">
        <v>151</v>
      </c>
      <c r="B6" s="9" t="s">
        <v>135</v>
      </c>
      <c r="C6" s="9" t="s">
        <v>99</v>
      </c>
      <c r="D6" s="9" t="s">
        <v>136</v>
      </c>
      <c r="E6" s="9" t="s">
        <v>152</v>
      </c>
      <c r="F6" s="9" t="s">
        <v>138</v>
      </c>
      <c r="G6" s="9" t="s">
        <v>153</v>
      </c>
      <c r="H6" s="9" t="s">
        <v>89</v>
      </c>
      <c r="I6" s="9" t="s">
        <v>154</v>
      </c>
      <c r="J6" s="9" t="s">
        <v>155</v>
      </c>
      <c r="K6" s="9" t="s">
        <v>156</v>
      </c>
      <c r="L6" s="9" t="s">
        <v>157</v>
      </c>
      <c r="M6" s="9" t="s">
        <v>158</v>
      </c>
      <c r="N6" s="9" t="s">
        <v>145</v>
      </c>
      <c r="O6" s="9" t="s">
        <v>146</v>
      </c>
      <c r="P6" s="9" t="s">
        <v>147</v>
      </c>
      <c r="Q6" s="9" t="s">
        <v>159</v>
      </c>
      <c r="R6" s="9" t="s">
        <v>59</v>
      </c>
      <c r="S6" s="9" t="s">
        <v>160</v>
      </c>
      <c r="T6" s="9"/>
      <c r="U6" s="12"/>
      <c r="V6" s="12"/>
      <c r="W6" s="12"/>
      <c r="X6" s="12" t="s">
        <v>150</v>
      </c>
      <c r="Y6" s="12"/>
      <c r="Z6" s="12"/>
    </row>
    <row r="7" spans="1:26" ht="90" customHeight="1" x14ac:dyDescent="0.25">
      <c r="A7" s="9" t="s">
        <v>161</v>
      </c>
      <c r="B7" s="9" t="s">
        <v>135</v>
      </c>
      <c r="C7" s="9" t="s">
        <v>99</v>
      </c>
      <c r="D7" s="9" t="s">
        <v>162</v>
      </c>
      <c r="E7" s="9" t="s">
        <v>137</v>
      </c>
      <c r="F7" s="9" t="s">
        <v>163</v>
      </c>
      <c r="G7" s="9" t="s">
        <v>164</v>
      </c>
      <c r="H7" s="9" t="s">
        <v>89</v>
      </c>
      <c r="I7" s="9" t="s">
        <v>165</v>
      </c>
      <c r="J7" s="9" t="s">
        <v>166</v>
      </c>
      <c r="K7" s="9" t="s">
        <v>167</v>
      </c>
      <c r="L7" s="9" t="s">
        <v>168</v>
      </c>
      <c r="M7" s="9" t="s">
        <v>144</v>
      </c>
      <c r="N7" s="9" t="s">
        <v>145</v>
      </c>
      <c r="O7" s="9" t="s">
        <v>146</v>
      </c>
      <c r="P7" s="9" t="s">
        <v>147</v>
      </c>
      <c r="Q7" s="9" t="s">
        <v>169</v>
      </c>
      <c r="R7" s="9" t="s">
        <v>59</v>
      </c>
      <c r="S7" s="9" t="s">
        <v>170</v>
      </c>
      <c r="T7" s="9"/>
      <c r="U7" s="12"/>
      <c r="V7" s="12"/>
      <c r="W7" s="12"/>
      <c r="X7" s="12" t="s">
        <v>150</v>
      </c>
      <c r="Y7" s="12"/>
      <c r="Z7" s="12"/>
    </row>
    <row r="8" spans="1:26" ht="90" customHeight="1" x14ac:dyDescent="0.25">
      <c r="A8" s="9" t="s">
        <v>171</v>
      </c>
      <c r="B8" s="9" t="s">
        <v>135</v>
      </c>
      <c r="C8" s="9" t="s">
        <v>99</v>
      </c>
      <c r="D8" s="9" t="s">
        <v>162</v>
      </c>
      <c r="E8" s="9" t="s">
        <v>152</v>
      </c>
      <c r="F8" s="9" t="s">
        <v>163</v>
      </c>
      <c r="G8" s="9" t="s">
        <v>172</v>
      </c>
      <c r="H8" s="9" t="s">
        <v>89</v>
      </c>
      <c r="I8" s="9" t="s">
        <v>173</v>
      </c>
      <c r="J8" s="9" t="s">
        <v>174</v>
      </c>
      <c r="K8" s="9" t="s">
        <v>175</v>
      </c>
      <c r="L8" s="9" t="s">
        <v>176</v>
      </c>
      <c r="M8" s="9" t="s">
        <v>177</v>
      </c>
      <c r="N8" s="9" t="s">
        <v>145</v>
      </c>
      <c r="O8" s="9"/>
      <c r="P8" s="9"/>
      <c r="Q8" s="9" t="s">
        <v>178</v>
      </c>
      <c r="R8" s="9" t="s">
        <v>150</v>
      </c>
      <c r="S8" s="9"/>
      <c r="T8" s="9"/>
      <c r="U8" s="12"/>
      <c r="V8" s="12"/>
      <c r="W8" s="12"/>
      <c r="X8" s="12" t="s">
        <v>150</v>
      </c>
      <c r="Y8" s="12"/>
      <c r="Z8" s="12"/>
    </row>
    <row r="9" spans="1:26" ht="90" customHeight="1" x14ac:dyDescent="0.25">
      <c r="A9" s="9" t="s">
        <v>179</v>
      </c>
      <c r="B9" s="9" t="s">
        <v>135</v>
      </c>
      <c r="C9" s="9" t="s">
        <v>99</v>
      </c>
      <c r="D9" s="9" t="s">
        <v>180</v>
      </c>
      <c r="E9" s="9" t="s">
        <v>137</v>
      </c>
      <c r="F9" s="9" t="s">
        <v>181</v>
      </c>
      <c r="G9" s="9" t="s">
        <v>182</v>
      </c>
      <c r="H9" s="9" t="s">
        <v>89</v>
      </c>
      <c r="I9" s="9" t="s">
        <v>183</v>
      </c>
      <c r="J9" s="9" t="s">
        <v>184</v>
      </c>
      <c r="K9" s="9" t="s">
        <v>185</v>
      </c>
      <c r="L9" s="9" t="s">
        <v>186</v>
      </c>
      <c r="M9" s="9" t="s">
        <v>144</v>
      </c>
      <c r="N9" s="9" t="s">
        <v>145</v>
      </c>
      <c r="O9" s="9" t="s">
        <v>146</v>
      </c>
      <c r="P9" s="9" t="s">
        <v>147</v>
      </c>
      <c r="Q9" s="9" t="s">
        <v>187</v>
      </c>
      <c r="R9" s="9" t="s">
        <v>59</v>
      </c>
      <c r="S9" s="9" t="s">
        <v>188</v>
      </c>
      <c r="T9" s="9"/>
      <c r="U9" s="12"/>
      <c r="V9" s="12"/>
      <c r="W9" s="12"/>
      <c r="X9" s="12" t="s">
        <v>150</v>
      </c>
      <c r="Y9" s="12"/>
      <c r="Z9" s="12"/>
    </row>
    <row r="10" spans="1:26" ht="90" customHeight="1" x14ac:dyDescent="0.25">
      <c r="A10" s="9" t="s">
        <v>189</v>
      </c>
      <c r="B10" s="9" t="s">
        <v>135</v>
      </c>
      <c r="C10" s="9" t="s">
        <v>99</v>
      </c>
      <c r="D10" s="9" t="s">
        <v>180</v>
      </c>
      <c r="E10" s="9" t="s">
        <v>152</v>
      </c>
      <c r="F10" s="9" t="s">
        <v>181</v>
      </c>
      <c r="G10" s="9" t="s">
        <v>190</v>
      </c>
      <c r="H10" s="9" t="s">
        <v>89</v>
      </c>
      <c r="I10" s="9" t="s">
        <v>191</v>
      </c>
      <c r="J10" s="9" t="s">
        <v>192</v>
      </c>
      <c r="K10" s="9" t="s">
        <v>193</v>
      </c>
      <c r="L10" s="9" t="s">
        <v>194</v>
      </c>
      <c r="M10" s="9" t="s">
        <v>195</v>
      </c>
      <c r="N10" s="9" t="s">
        <v>145</v>
      </c>
      <c r="O10" s="9" t="s">
        <v>146</v>
      </c>
      <c r="P10" s="9" t="s">
        <v>147</v>
      </c>
      <c r="Q10" s="9" t="s">
        <v>196</v>
      </c>
      <c r="R10" s="9" t="s">
        <v>59</v>
      </c>
      <c r="S10" s="9" t="s">
        <v>197</v>
      </c>
      <c r="T10" s="9"/>
      <c r="U10" s="12"/>
      <c r="V10" s="12"/>
      <c r="W10" s="12"/>
      <c r="X10" s="12" t="s">
        <v>150</v>
      </c>
      <c r="Y10" s="12"/>
      <c r="Z10" s="12"/>
    </row>
    <row r="11" spans="1:26" ht="90" customHeight="1" x14ac:dyDescent="0.25">
      <c r="A11" s="9" t="s">
        <v>198</v>
      </c>
      <c r="B11" s="9" t="s">
        <v>135</v>
      </c>
      <c r="C11" s="9" t="s">
        <v>99</v>
      </c>
      <c r="D11" s="9" t="s">
        <v>199</v>
      </c>
      <c r="E11" s="9" t="s">
        <v>137</v>
      </c>
      <c r="F11" s="9" t="s">
        <v>200</v>
      </c>
      <c r="G11" s="9" t="s">
        <v>201</v>
      </c>
      <c r="H11" s="9" t="s">
        <v>90</v>
      </c>
      <c r="I11" s="9" t="s">
        <v>202</v>
      </c>
      <c r="J11" s="9" t="s">
        <v>203</v>
      </c>
      <c r="K11" s="9" t="s">
        <v>204</v>
      </c>
      <c r="L11" s="9" t="s">
        <v>205</v>
      </c>
      <c r="M11" s="9" t="s">
        <v>206</v>
      </c>
      <c r="N11" s="9" t="s">
        <v>145</v>
      </c>
      <c r="O11" s="9" t="s">
        <v>146</v>
      </c>
      <c r="P11" s="9" t="s">
        <v>147</v>
      </c>
      <c r="Q11" s="9" t="s">
        <v>207</v>
      </c>
      <c r="R11" s="9" t="s">
        <v>59</v>
      </c>
      <c r="S11" s="9" t="s">
        <v>208</v>
      </c>
      <c r="T11" s="9"/>
      <c r="U11" s="12"/>
      <c r="V11" s="12"/>
      <c r="W11" s="12"/>
      <c r="X11" s="12" t="s">
        <v>150</v>
      </c>
      <c r="Y11" s="12"/>
      <c r="Z11" s="12"/>
    </row>
    <row r="12" spans="1:26" ht="90" customHeight="1" x14ac:dyDescent="0.25">
      <c r="A12" s="9" t="s">
        <v>209</v>
      </c>
      <c r="B12" s="9" t="s">
        <v>135</v>
      </c>
      <c r="C12" s="9" t="s">
        <v>99</v>
      </c>
      <c r="D12" s="9" t="s">
        <v>199</v>
      </c>
      <c r="E12" s="9" t="s">
        <v>152</v>
      </c>
      <c r="F12" s="9" t="s">
        <v>200</v>
      </c>
      <c r="G12" s="9" t="s">
        <v>210</v>
      </c>
      <c r="H12" s="9" t="s">
        <v>90</v>
      </c>
      <c r="I12" s="9" t="s">
        <v>211</v>
      </c>
      <c r="J12" s="9" t="s">
        <v>212</v>
      </c>
      <c r="K12" s="9" t="s">
        <v>213</v>
      </c>
      <c r="L12" s="9" t="s">
        <v>214</v>
      </c>
      <c r="M12" s="9" t="s">
        <v>158</v>
      </c>
      <c r="N12" s="9" t="s">
        <v>145</v>
      </c>
      <c r="O12" s="9" t="s">
        <v>146</v>
      </c>
      <c r="P12" s="9" t="s">
        <v>147</v>
      </c>
      <c r="Q12" s="9" t="s">
        <v>215</v>
      </c>
      <c r="R12" s="9" t="s">
        <v>59</v>
      </c>
      <c r="S12" s="9" t="s">
        <v>216</v>
      </c>
      <c r="T12" s="9"/>
      <c r="U12" s="12"/>
      <c r="V12" s="12"/>
      <c r="W12" s="12"/>
      <c r="X12" s="12" t="s">
        <v>150</v>
      </c>
      <c r="Y12" s="12"/>
      <c r="Z12" s="12"/>
    </row>
    <row r="13" spans="1:26" ht="90" customHeight="1" x14ac:dyDescent="0.25">
      <c r="A13" s="9" t="s">
        <v>217</v>
      </c>
      <c r="B13" s="9" t="s">
        <v>135</v>
      </c>
      <c r="C13" s="9" t="s">
        <v>99</v>
      </c>
      <c r="D13" s="9" t="s">
        <v>218</v>
      </c>
      <c r="E13" s="9" t="s">
        <v>137</v>
      </c>
      <c r="F13" s="9" t="s">
        <v>219</v>
      </c>
      <c r="G13" s="9" t="s">
        <v>220</v>
      </c>
      <c r="H13" s="9" t="s">
        <v>89</v>
      </c>
      <c r="I13" s="9" t="s">
        <v>221</v>
      </c>
      <c r="J13" s="9" t="s">
        <v>222</v>
      </c>
      <c r="K13" s="9" t="s">
        <v>223</v>
      </c>
      <c r="L13" s="9" t="s">
        <v>224</v>
      </c>
      <c r="M13" s="9" t="s">
        <v>225</v>
      </c>
      <c r="N13" s="9" t="s">
        <v>145</v>
      </c>
      <c r="O13" s="9" t="s">
        <v>146</v>
      </c>
      <c r="P13" s="9" t="s">
        <v>147</v>
      </c>
      <c r="Q13" s="9" t="s">
        <v>226</v>
      </c>
      <c r="R13" s="9" t="s">
        <v>59</v>
      </c>
      <c r="S13" s="9" t="s">
        <v>216</v>
      </c>
      <c r="T13" s="9"/>
      <c r="U13" s="12"/>
      <c r="V13" s="12"/>
      <c r="W13" s="12"/>
      <c r="X13" s="12" t="s">
        <v>150</v>
      </c>
      <c r="Y13" s="12"/>
      <c r="Z13" s="12"/>
    </row>
    <row r="14" spans="1:26" ht="90" customHeight="1" x14ac:dyDescent="0.25">
      <c r="A14" s="9" t="s">
        <v>227</v>
      </c>
      <c r="B14" s="9" t="s">
        <v>135</v>
      </c>
      <c r="C14" s="9" t="s">
        <v>99</v>
      </c>
      <c r="D14" s="9" t="s">
        <v>218</v>
      </c>
      <c r="E14" s="9" t="s">
        <v>152</v>
      </c>
      <c r="F14" s="9" t="s">
        <v>219</v>
      </c>
      <c r="G14" s="9" t="s">
        <v>228</v>
      </c>
      <c r="H14" s="9" t="s">
        <v>90</v>
      </c>
      <c r="I14" s="9" t="s">
        <v>229</v>
      </c>
      <c r="J14" s="9" t="s">
        <v>230</v>
      </c>
      <c r="K14" s="9" t="s">
        <v>231</v>
      </c>
      <c r="L14" s="9" t="s">
        <v>232</v>
      </c>
      <c r="M14" s="9" t="s">
        <v>233</v>
      </c>
      <c r="N14" s="9" t="s">
        <v>234</v>
      </c>
      <c r="O14" s="9" t="s">
        <v>146</v>
      </c>
      <c r="P14" s="9" t="s">
        <v>147</v>
      </c>
      <c r="Q14" s="9" t="s">
        <v>235</v>
      </c>
      <c r="R14" s="9" t="s">
        <v>59</v>
      </c>
      <c r="S14" s="9" t="s">
        <v>236</v>
      </c>
      <c r="T14" s="9"/>
      <c r="U14" s="12"/>
      <c r="V14" s="12"/>
      <c r="W14" s="12"/>
      <c r="X14" s="12" t="s">
        <v>150</v>
      </c>
      <c r="Y14" s="12"/>
      <c r="Z14" s="12"/>
    </row>
    <row r="15" spans="1:26" ht="90" customHeight="1" x14ac:dyDescent="0.25">
      <c r="A15" s="9" t="s">
        <v>237</v>
      </c>
      <c r="B15" s="9" t="s">
        <v>135</v>
      </c>
      <c r="C15" s="9" t="s">
        <v>99</v>
      </c>
      <c r="D15" s="9" t="s">
        <v>218</v>
      </c>
      <c r="E15" s="9" t="s">
        <v>238</v>
      </c>
      <c r="F15" s="9" t="s">
        <v>219</v>
      </c>
      <c r="G15" s="9" t="s">
        <v>239</v>
      </c>
      <c r="H15" s="9" t="s">
        <v>90</v>
      </c>
      <c r="I15" s="9" t="s">
        <v>240</v>
      </c>
      <c r="J15" s="9" t="s">
        <v>241</v>
      </c>
      <c r="K15" s="9" t="s">
        <v>242</v>
      </c>
      <c r="L15" s="9" t="s">
        <v>243</v>
      </c>
      <c r="M15" s="9" t="s">
        <v>144</v>
      </c>
      <c r="N15" s="9" t="s">
        <v>234</v>
      </c>
      <c r="O15" s="9" t="s">
        <v>244</v>
      </c>
      <c r="P15" s="9" t="s">
        <v>147</v>
      </c>
      <c r="Q15" s="9" t="s">
        <v>245</v>
      </c>
      <c r="R15" s="9" t="s">
        <v>59</v>
      </c>
      <c r="S15" s="9" t="s">
        <v>246</v>
      </c>
      <c r="T15" s="9" t="s">
        <v>247</v>
      </c>
      <c r="U15" s="12"/>
      <c r="V15" s="12"/>
      <c r="W15" s="12"/>
      <c r="X15" s="12" t="s">
        <v>150</v>
      </c>
      <c r="Y15" s="12"/>
      <c r="Z15" s="12"/>
    </row>
    <row r="16" spans="1:26" ht="90" customHeight="1" x14ac:dyDescent="0.25">
      <c r="A16" s="9" t="s">
        <v>248</v>
      </c>
      <c r="B16" s="9" t="s">
        <v>135</v>
      </c>
      <c r="C16" s="9" t="s">
        <v>99</v>
      </c>
      <c r="D16" s="9" t="s">
        <v>218</v>
      </c>
      <c r="E16" s="9" t="s">
        <v>249</v>
      </c>
      <c r="F16" s="9" t="s">
        <v>219</v>
      </c>
      <c r="G16" s="9" t="s">
        <v>250</v>
      </c>
      <c r="H16" s="9" t="s">
        <v>90</v>
      </c>
      <c r="I16" s="9" t="s">
        <v>183</v>
      </c>
      <c r="J16" s="9" t="s">
        <v>251</v>
      </c>
      <c r="K16" s="9" t="s">
        <v>185</v>
      </c>
      <c r="L16" s="9" t="s">
        <v>252</v>
      </c>
      <c r="M16" s="9" t="s">
        <v>233</v>
      </c>
      <c r="N16" s="9" t="s">
        <v>253</v>
      </c>
      <c r="O16" s="9" t="s">
        <v>146</v>
      </c>
      <c r="P16" s="9" t="s">
        <v>147</v>
      </c>
      <c r="Q16" s="9" t="s">
        <v>254</v>
      </c>
      <c r="R16" s="9" t="s">
        <v>59</v>
      </c>
      <c r="S16" s="9" t="s">
        <v>255</v>
      </c>
      <c r="T16" s="9"/>
      <c r="U16" s="12"/>
      <c r="V16" s="12"/>
      <c r="W16" s="12"/>
      <c r="X16" s="12" t="s">
        <v>150</v>
      </c>
      <c r="Y16" s="12"/>
      <c r="Z16" s="12"/>
    </row>
    <row r="17" spans="1:26" ht="90" customHeight="1" x14ac:dyDescent="0.25">
      <c r="A17" s="9" t="s">
        <v>256</v>
      </c>
      <c r="B17" s="9" t="s">
        <v>135</v>
      </c>
      <c r="C17" s="9" t="s">
        <v>99</v>
      </c>
      <c r="D17" s="9" t="s">
        <v>257</v>
      </c>
      <c r="E17" s="9" t="s">
        <v>137</v>
      </c>
      <c r="F17" s="9" t="s">
        <v>258</v>
      </c>
      <c r="G17" s="9" t="s">
        <v>259</v>
      </c>
      <c r="H17" s="9" t="s">
        <v>89</v>
      </c>
      <c r="I17" s="9" t="s">
        <v>260</v>
      </c>
      <c r="J17" s="9" t="s">
        <v>261</v>
      </c>
      <c r="K17" s="9" t="s">
        <v>262</v>
      </c>
      <c r="L17" s="9" t="s">
        <v>263</v>
      </c>
      <c r="M17" s="9" t="s">
        <v>144</v>
      </c>
      <c r="N17" s="9" t="s">
        <v>234</v>
      </c>
      <c r="O17" s="9" t="s">
        <v>244</v>
      </c>
      <c r="P17" s="9" t="s">
        <v>147</v>
      </c>
      <c r="Q17" s="9" t="s">
        <v>264</v>
      </c>
      <c r="R17" s="9" t="s">
        <v>59</v>
      </c>
      <c r="S17" s="9" t="s">
        <v>265</v>
      </c>
      <c r="T17" s="9" t="s">
        <v>266</v>
      </c>
      <c r="U17" s="12"/>
      <c r="V17" s="12"/>
      <c r="W17" s="12"/>
      <c r="X17" s="12" t="s">
        <v>150</v>
      </c>
      <c r="Y17" s="12"/>
      <c r="Z17" s="12"/>
    </row>
    <row r="18" spans="1:26" ht="90" customHeight="1" x14ac:dyDescent="0.25">
      <c r="A18" s="9" t="s">
        <v>267</v>
      </c>
      <c r="B18" s="9" t="s">
        <v>135</v>
      </c>
      <c r="C18" s="9" t="s">
        <v>99</v>
      </c>
      <c r="D18" s="9" t="s">
        <v>257</v>
      </c>
      <c r="E18" s="9" t="s">
        <v>152</v>
      </c>
      <c r="F18" s="9" t="s">
        <v>258</v>
      </c>
      <c r="G18" s="9" t="s">
        <v>268</v>
      </c>
      <c r="H18" s="9" t="s">
        <v>89</v>
      </c>
      <c r="I18" s="9" t="s">
        <v>269</v>
      </c>
      <c r="J18" s="9" t="s">
        <v>270</v>
      </c>
      <c r="K18" s="9" t="s">
        <v>262</v>
      </c>
      <c r="L18" s="9" t="s">
        <v>271</v>
      </c>
      <c r="M18" s="9" t="s">
        <v>144</v>
      </c>
      <c r="N18" s="9" t="s">
        <v>234</v>
      </c>
      <c r="O18" s="9" t="s">
        <v>244</v>
      </c>
      <c r="P18" s="9" t="s">
        <v>147</v>
      </c>
      <c r="Q18" s="9" t="s">
        <v>272</v>
      </c>
      <c r="R18" s="9" t="s">
        <v>59</v>
      </c>
      <c r="S18" s="9" t="s">
        <v>273</v>
      </c>
      <c r="T18" s="9" t="s">
        <v>266</v>
      </c>
      <c r="U18" s="12"/>
      <c r="V18" s="12"/>
      <c r="W18" s="12"/>
      <c r="X18" s="12" t="s">
        <v>150</v>
      </c>
      <c r="Y18" s="12"/>
      <c r="Z18" s="12"/>
    </row>
    <row r="19" spans="1:26" ht="90" customHeight="1" x14ac:dyDescent="0.25">
      <c r="A19" s="9" t="s">
        <v>274</v>
      </c>
      <c r="B19" s="9" t="s">
        <v>135</v>
      </c>
      <c r="C19" s="9" t="s">
        <v>99</v>
      </c>
      <c r="D19" s="9" t="s">
        <v>257</v>
      </c>
      <c r="E19" s="9" t="s">
        <v>238</v>
      </c>
      <c r="F19" s="9" t="s">
        <v>258</v>
      </c>
      <c r="G19" s="9" t="s">
        <v>275</v>
      </c>
      <c r="H19" s="9" t="s">
        <v>89</v>
      </c>
      <c r="I19" s="9" t="s">
        <v>276</v>
      </c>
      <c r="J19" s="9" t="s">
        <v>277</v>
      </c>
      <c r="K19" s="9" t="s">
        <v>262</v>
      </c>
      <c r="L19" s="9" t="s">
        <v>278</v>
      </c>
      <c r="M19" s="9" t="s">
        <v>195</v>
      </c>
      <c r="N19" s="9" t="s">
        <v>234</v>
      </c>
      <c r="O19" s="9" t="s">
        <v>244</v>
      </c>
      <c r="P19" s="9" t="s">
        <v>147</v>
      </c>
      <c r="Q19" s="9" t="s">
        <v>279</v>
      </c>
      <c r="R19" s="9" t="s">
        <v>59</v>
      </c>
      <c r="S19" s="9" t="s">
        <v>280</v>
      </c>
      <c r="T19" s="9" t="s">
        <v>266</v>
      </c>
      <c r="U19" s="12"/>
      <c r="V19" s="12"/>
      <c r="W19" s="12"/>
      <c r="X19" s="12" t="s">
        <v>150</v>
      </c>
      <c r="Y19" s="12"/>
      <c r="Z19" s="12"/>
    </row>
    <row r="20" spans="1:26" ht="90" customHeight="1" x14ac:dyDescent="0.25">
      <c r="A20" s="9" t="s">
        <v>281</v>
      </c>
      <c r="B20" s="9" t="s">
        <v>135</v>
      </c>
      <c r="C20" s="9" t="s">
        <v>100</v>
      </c>
      <c r="D20" s="9" t="s">
        <v>282</v>
      </c>
      <c r="E20" s="9" t="s">
        <v>137</v>
      </c>
      <c r="F20" s="9" t="s">
        <v>283</v>
      </c>
      <c r="G20" s="9" t="s">
        <v>284</v>
      </c>
      <c r="H20" s="9" t="s">
        <v>89</v>
      </c>
      <c r="I20" s="9" t="s">
        <v>285</v>
      </c>
      <c r="J20" s="9" t="s">
        <v>286</v>
      </c>
      <c r="K20" s="9" t="s">
        <v>287</v>
      </c>
      <c r="L20" s="9" t="s">
        <v>288</v>
      </c>
      <c r="M20" s="9" t="s">
        <v>158</v>
      </c>
      <c r="N20" s="9" t="s">
        <v>234</v>
      </c>
      <c r="O20" s="9"/>
      <c r="P20" s="9"/>
      <c r="Q20" s="9" t="s">
        <v>289</v>
      </c>
      <c r="R20" s="9" t="s">
        <v>150</v>
      </c>
      <c r="S20" s="9"/>
      <c r="T20" s="9"/>
      <c r="U20" s="12"/>
      <c r="V20" s="12"/>
      <c r="W20" s="12"/>
      <c r="X20" s="12" t="s">
        <v>150</v>
      </c>
      <c r="Y20" s="12"/>
      <c r="Z20" s="12"/>
    </row>
    <row r="21" spans="1:26" ht="90" customHeight="1" x14ac:dyDescent="0.25">
      <c r="A21" s="9" t="s">
        <v>290</v>
      </c>
      <c r="B21" s="9" t="s">
        <v>135</v>
      </c>
      <c r="C21" s="9" t="s">
        <v>100</v>
      </c>
      <c r="D21" s="9" t="s">
        <v>282</v>
      </c>
      <c r="E21" s="9" t="s">
        <v>152</v>
      </c>
      <c r="F21" s="9" t="s">
        <v>283</v>
      </c>
      <c r="G21" s="9" t="s">
        <v>291</v>
      </c>
      <c r="H21" s="9" t="s">
        <v>89</v>
      </c>
      <c r="I21" s="9" t="s">
        <v>285</v>
      </c>
      <c r="J21" s="9" t="s">
        <v>292</v>
      </c>
      <c r="K21" s="9" t="s">
        <v>293</v>
      </c>
      <c r="L21" s="9" t="s">
        <v>294</v>
      </c>
      <c r="M21" s="9" t="s">
        <v>295</v>
      </c>
      <c r="N21" s="9" t="s">
        <v>145</v>
      </c>
      <c r="O21" s="9" t="s">
        <v>146</v>
      </c>
      <c r="P21" s="9" t="s">
        <v>147</v>
      </c>
      <c r="Q21" s="9" t="s">
        <v>296</v>
      </c>
      <c r="R21" s="9" t="s">
        <v>59</v>
      </c>
      <c r="S21" s="9" t="s">
        <v>297</v>
      </c>
      <c r="T21" s="9"/>
      <c r="U21" s="12"/>
      <c r="V21" s="12"/>
      <c r="W21" s="12"/>
      <c r="X21" s="12" t="s">
        <v>150</v>
      </c>
      <c r="Y21" s="12"/>
      <c r="Z21" s="12"/>
    </row>
    <row r="22" spans="1:26" ht="90" customHeight="1" x14ac:dyDescent="0.25">
      <c r="A22" s="9" t="s">
        <v>298</v>
      </c>
      <c r="B22" s="9" t="s">
        <v>135</v>
      </c>
      <c r="C22" s="9" t="s">
        <v>100</v>
      </c>
      <c r="D22" s="9" t="s">
        <v>299</v>
      </c>
      <c r="E22" s="9" t="s">
        <v>137</v>
      </c>
      <c r="F22" s="9" t="s">
        <v>300</v>
      </c>
      <c r="G22" s="9" t="s">
        <v>301</v>
      </c>
      <c r="H22" s="9" t="s">
        <v>89</v>
      </c>
      <c r="I22" s="9" t="s">
        <v>302</v>
      </c>
      <c r="J22" s="9" t="s">
        <v>303</v>
      </c>
      <c r="K22" s="9" t="s">
        <v>304</v>
      </c>
      <c r="L22" s="9" t="s">
        <v>305</v>
      </c>
      <c r="M22" s="9" t="s">
        <v>144</v>
      </c>
      <c r="N22" s="9" t="s">
        <v>145</v>
      </c>
      <c r="O22" s="9" t="s">
        <v>146</v>
      </c>
      <c r="P22" s="9" t="s">
        <v>147</v>
      </c>
      <c r="Q22" s="9" t="s">
        <v>306</v>
      </c>
      <c r="R22" s="9" t="s">
        <v>59</v>
      </c>
      <c r="S22" s="9" t="s">
        <v>307</v>
      </c>
      <c r="T22" s="9"/>
      <c r="U22" s="12"/>
      <c r="V22" s="12"/>
      <c r="W22" s="12"/>
      <c r="X22" s="12" t="s">
        <v>150</v>
      </c>
      <c r="Y22" s="12"/>
      <c r="Z22" s="12"/>
    </row>
    <row r="23" spans="1:26" ht="90" customHeight="1" x14ac:dyDescent="0.25">
      <c r="A23" s="9" t="s">
        <v>308</v>
      </c>
      <c r="B23" s="9" t="s">
        <v>135</v>
      </c>
      <c r="C23" s="9" t="s">
        <v>100</v>
      </c>
      <c r="D23" s="9" t="s">
        <v>299</v>
      </c>
      <c r="E23" s="9" t="s">
        <v>152</v>
      </c>
      <c r="F23" s="9" t="s">
        <v>300</v>
      </c>
      <c r="G23" s="9" t="s">
        <v>309</v>
      </c>
      <c r="H23" s="9" t="s">
        <v>89</v>
      </c>
      <c r="I23" s="9" t="s">
        <v>310</v>
      </c>
      <c r="J23" s="9" t="s">
        <v>311</v>
      </c>
      <c r="K23" s="9" t="s">
        <v>312</v>
      </c>
      <c r="L23" s="9" t="s">
        <v>313</v>
      </c>
      <c r="M23" s="9" t="s">
        <v>144</v>
      </c>
      <c r="N23" s="9" t="s">
        <v>314</v>
      </c>
      <c r="O23" s="9" t="s">
        <v>146</v>
      </c>
      <c r="P23" s="9" t="s">
        <v>147</v>
      </c>
      <c r="Q23" s="9" t="s">
        <v>315</v>
      </c>
      <c r="R23" s="9" t="s">
        <v>59</v>
      </c>
      <c r="S23" s="9" t="s">
        <v>316</v>
      </c>
      <c r="T23" s="9"/>
      <c r="U23" s="12"/>
      <c r="V23" s="12"/>
      <c r="W23" s="12"/>
      <c r="X23" s="12" t="s">
        <v>150</v>
      </c>
      <c r="Y23" s="12"/>
      <c r="Z23" s="12"/>
    </row>
    <row r="24" spans="1:26" ht="90" customHeight="1" x14ac:dyDescent="0.25">
      <c r="A24" s="9" t="s">
        <v>317</v>
      </c>
      <c r="B24" s="9" t="s">
        <v>135</v>
      </c>
      <c r="C24" s="9" t="s">
        <v>100</v>
      </c>
      <c r="D24" s="9" t="s">
        <v>318</v>
      </c>
      <c r="E24" s="9" t="s">
        <v>137</v>
      </c>
      <c r="F24" s="9" t="s">
        <v>319</v>
      </c>
      <c r="G24" s="9" t="s">
        <v>320</v>
      </c>
      <c r="H24" s="9" t="s">
        <v>89</v>
      </c>
      <c r="I24" s="9" t="s">
        <v>321</v>
      </c>
      <c r="J24" s="9" t="s">
        <v>322</v>
      </c>
      <c r="K24" s="9" t="s">
        <v>323</v>
      </c>
      <c r="L24" s="9" t="s">
        <v>324</v>
      </c>
      <c r="M24" s="9" t="s">
        <v>144</v>
      </c>
      <c r="N24" s="9" t="s">
        <v>145</v>
      </c>
      <c r="O24" s="9" t="s">
        <v>146</v>
      </c>
      <c r="P24" s="9" t="s">
        <v>147</v>
      </c>
      <c r="Q24" s="9" t="s">
        <v>325</v>
      </c>
      <c r="R24" s="9" t="s">
        <v>59</v>
      </c>
      <c r="S24" s="9" t="s">
        <v>326</v>
      </c>
      <c r="T24" s="9"/>
      <c r="U24" s="12"/>
      <c r="V24" s="12"/>
      <c r="W24" s="12"/>
      <c r="X24" s="12" t="s">
        <v>150</v>
      </c>
      <c r="Y24" s="12"/>
      <c r="Z24" s="12"/>
    </row>
    <row r="25" spans="1:26" ht="90" customHeight="1" x14ac:dyDescent="0.25">
      <c r="A25" s="9" t="s">
        <v>327</v>
      </c>
      <c r="B25" s="9" t="s">
        <v>135</v>
      </c>
      <c r="C25" s="9" t="s">
        <v>100</v>
      </c>
      <c r="D25" s="9" t="s">
        <v>318</v>
      </c>
      <c r="E25" s="9" t="s">
        <v>152</v>
      </c>
      <c r="F25" s="9" t="s">
        <v>319</v>
      </c>
      <c r="G25" s="9" t="s">
        <v>328</v>
      </c>
      <c r="H25" s="9" t="s">
        <v>89</v>
      </c>
      <c r="I25" s="9" t="s">
        <v>329</v>
      </c>
      <c r="J25" s="9" t="s">
        <v>330</v>
      </c>
      <c r="K25" s="9" t="s">
        <v>331</v>
      </c>
      <c r="L25" s="9" t="s">
        <v>332</v>
      </c>
      <c r="M25" s="9" t="s">
        <v>333</v>
      </c>
      <c r="N25" s="9" t="s">
        <v>334</v>
      </c>
      <c r="O25" s="9" t="s">
        <v>146</v>
      </c>
      <c r="P25" s="9" t="s">
        <v>147</v>
      </c>
      <c r="Q25" s="9" t="s">
        <v>335</v>
      </c>
      <c r="R25" s="9" t="s">
        <v>59</v>
      </c>
      <c r="S25" s="9" t="s">
        <v>336</v>
      </c>
      <c r="T25" s="9"/>
      <c r="U25" s="12"/>
      <c r="V25" s="12"/>
      <c r="W25" s="12"/>
      <c r="X25" s="12" t="s">
        <v>150</v>
      </c>
      <c r="Y25" s="12"/>
      <c r="Z25" s="12"/>
    </row>
    <row r="26" spans="1:26" ht="90" customHeight="1" x14ac:dyDescent="0.25">
      <c r="A26" s="9" t="s">
        <v>337</v>
      </c>
      <c r="B26" s="9" t="s">
        <v>135</v>
      </c>
      <c r="C26" s="9" t="s">
        <v>100</v>
      </c>
      <c r="D26" s="9" t="s">
        <v>338</v>
      </c>
      <c r="E26" s="9" t="s">
        <v>137</v>
      </c>
      <c r="F26" s="9" t="s">
        <v>339</v>
      </c>
      <c r="G26" s="9" t="s">
        <v>340</v>
      </c>
      <c r="H26" s="9" t="s">
        <v>89</v>
      </c>
      <c r="I26" s="9" t="s">
        <v>341</v>
      </c>
      <c r="J26" s="9" t="s">
        <v>342</v>
      </c>
      <c r="K26" s="9" t="s">
        <v>343</v>
      </c>
      <c r="L26" s="9" t="s">
        <v>344</v>
      </c>
      <c r="M26" s="9" t="s">
        <v>177</v>
      </c>
      <c r="N26" s="9" t="s">
        <v>145</v>
      </c>
      <c r="O26" s="9" t="s">
        <v>146</v>
      </c>
      <c r="P26" s="9" t="s">
        <v>147</v>
      </c>
      <c r="Q26" s="9" t="s">
        <v>345</v>
      </c>
      <c r="R26" s="9" t="s">
        <v>59</v>
      </c>
      <c r="S26" s="9" t="s">
        <v>346</v>
      </c>
      <c r="T26" s="9"/>
      <c r="U26" s="12"/>
      <c r="V26" s="12"/>
      <c r="W26" s="12"/>
      <c r="X26" s="12" t="s">
        <v>150</v>
      </c>
      <c r="Y26" s="12"/>
      <c r="Z26" s="12"/>
    </row>
    <row r="27" spans="1:26" ht="90" customHeight="1" x14ac:dyDescent="0.25">
      <c r="A27" s="9" t="s">
        <v>347</v>
      </c>
      <c r="B27" s="9" t="s">
        <v>135</v>
      </c>
      <c r="C27" s="9" t="s">
        <v>100</v>
      </c>
      <c r="D27" s="9" t="s">
        <v>338</v>
      </c>
      <c r="E27" s="9" t="s">
        <v>152</v>
      </c>
      <c r="F27" s="9" t="s">
        <v>339</v>
      </c>
      <c r="G27" s="9" t="s">
        <v>348</v>
      </c>
      <c r="H27" s="9" t="s">
        <v>90</v>
      </c>
      <c r="I27" s="9" t="s">
        <v>349</v>
      </c>
      <c r="J27" s="9" t="s">
        <v>350</v>
      </c>
      <c r="K27" s="9" t="s">
        <v>323</v>
      </c>
      <c r="L27" s="9" t="s">
        <v>351</v>
      </c>
      <c r="M27" s="9" t="s">
        <v>195</v>
      </c>
      <c r="N27" s="9" t="s">
        <v>145</v>
      </c>
      <c r="O27" s="9" t="s">
        <v>146</v>
      </c>
      <c r="P27" s="9" t="s">
        <v>147</v>
      </c>
      <c r="Q27" s="9" t="s">
        <v>352</v>
      </c>
      <c r="R27" s="9" t="s">
        <v>59</v>
      </c>
      <c r="S27" s="9" t="s">
        <v>353</v>
      </c>
      <c r="T27" s="9"/>
      <c r="U27" s="12"/>
      <c r="V27" s="12"/>
      <c r="W27" s="12"/>
      <c r="X27" s="12" t="s">
        <v>150</v>
      </c>
      <c r="Y27" s="12"/>
      <c r="Z27" s="12"/>
    </row>
    <row r="28" spans="1:26" ht="90" customHeight="1" x14ac:dyDescent="0.25">
      <c r="A28" s="9" t="s">
        <v>354</v>
      </c>
      <c r="B28" s="9" t="s">
        <v>135</v>
      </c>
      <c r="C28" s="9" t="s">
        <v>100</v>
      </c>
      <c r="D28" s="9" t="s">
        <v>355</v>
      </c>
      <c r="E28" s="9" t="s">
        <v>137</v>
      </c>
      <c r="F28" s="9" t="s">
        <v>356</v>
      </c>
      <c r="G28" s="9" t="s">
        <v>357</v>
      </c>
      <c r="H28" s="9" t="s">
        <v>89</v>
      </c>
      <c r="I28" s="9" t="s">
        <v>358</v>
      </c>
      <c r="J28" s="9" t="s">
        <v>359</v>
      </c>
      <c r="K28" s="9" t="s">
        <v>360</v>
      </c>
      <c r="L28" s="9" t="s">
        <v>361</v>
      </c>
      <c r="M28" s="9" t="s">
        <v>144</v>
      </c>
      <c r="N28" s="9" t="s">
        <v>145</v>
      </c>
      <c r="O28" s="9" t="s">
        <v>146</v>
      </c>
      <c r="P28" s="9" t="s">
        <v>147</v>
      </c>
      <c r="Q28" s="9" t="s">
        <v>362</v>
      </c>
      <c r="R28" s="9" t="s">
        <v>59</v>
      </c>
      <c r="S28" s="9" t="s">
        <v>363</v>
      </c>
      <c r="T28" s="9"/>
      <c r="U28" s="12"/>
      <c r="V28" s="12"/>
      <c r="W28" s="12"/>
      <c r="X28" s="12" t="s">
        <v>150</v>
      </c>
      <c r="Y28" s="12"/>
      <c r="Z28" s="12"/>
    </row>
    <row r="29" spans="1:26" ht="90" customHeight="1" x14ac:dyDescent="0.25">
      <c r="A29" s="9" t="s">
        <v>364</v>
      </c>
      <c r="B29" s="9" t="s">
        <v>135</v>
      </c>
      <c r="C29" s="9" t="s">
        <v>100</v>
      </c>
      <c r="D29" s="9" t="s">
        <v>355</v>
      </c>
      <c r="E29" s="9" t="s">
        <v>152</v>
      </c>
      <c r="F29" s="9" t="s">
        <v>356</v>
      </c>
      <c r="G29" s="9" t="s">
        <v>365</v>
      </c>
      <c r="H29" s="9" t="s">
        <v>89</v>
      </c>
      <c r="I29" s="9" t="s">
        <v>366</v>
      </c>
      <c r="J29" s="9" t="s">
        <v>367</v>
      </c>
      <c r="K29" s="9" t="s">
        <v>368</v>
      </c>
      <c r="L29" s="9" t="s">
        <v>369</v>
      </c>
      <c r="M29" s="9" t="s">
        <v>177</v>
      </c>
      <c r="N29" s="9" t="s">
        <v>370</v>
      </c>
      <c r="O29" s="9" t="s">
        <v>146</v>
      </c>
      <c r="P29" s="9" t="s">
        <v>147</v>
      </c>
      <c r="Q29" s="9" t="s">
        <v>371</v>
      </c>
      <c r="R29" s="9" t="s">
        <v>59</v>
      </c>
      <c r="S29" s="9" t="s">
        <v>216</v>
      </c>
      <c r="T29" s="9"/>
      <c r="U29" s="12"/>
      <c r="V29" s="12"/>
      <c r="W29" s="12"/>
      <c r="X29" s="12" t="s">
        <v>150</v>
      </c>
      <c r="Y29" s="12"/>
      <c r="Z29" s="12"/>
    </row>
    <row r="30" spans="1:26" ht="90" customHeight="1" x14ac:dyDescent="0.25">
      <c r="A30" s="9" t="s">
        <v>372</v>
      </c>
      <c r="B30" s="9" t="s">
        <v>135</v>
      </c>
      <c r="C30" s="9" t="s">
        <v>101</v>
      </c>
      <c r="D30" s="9" t="s">
        <v>373</v>
      </c>
      <c r="E30" s="9" t="s">
        <v>137</v>
      </c>
      <c r="F30" s="9" t="s">
        <v>374</v>
      </c>
      <c r="G30" s="9" t="s">
        <v>375</v>
      </c>
      <c r="H30" s="9" t="s">
        <v>89</v>
      </c>
      <c r="I30" s="9" t="s">
        <v>376</v>
      </c>
      <c r="J30" s="9" t="s">
        <v>377</v>
      </c>
      <c r="K30" s="9" t="s">
        <v>360</v>
      </c>
      <c r="L30" s="9" t="s">
        <v>378</v>
      </c>
      <c r="M30" s="9" t="s">
        <v>144</v>
      </c>
      <c r="N30" s="9" t="s">
        <v>145</v>
      </c>
      <c r="O30" s="9" t="s">
        <v>146</v>
      </c>
      <c r="P30" s="9" t="s">
        <v>147</v>
      </c>
      <c r="Q30" s="9" t="s">
        <v>379</v>
      </c>
      <c r="R30" s="9" t="s">
        <v>59</v>
      </c>
      <c r="S30" s="9" t="s">
        <v>380</v>
      </c>
      <c r="T30" s="9"/>
      <c r="U30" s="12"/>
      <c r="V30" s="12"/>
      <c r="W30" s="12"/>
      <c r="X30" s="12" t="s">
        <v>150</v>
      </c>
      <c r="Y30" s="12"/>
      <c r="Z30" s="12"/>
    </row>
    <row r="31" spans="1:26" ht="90" customHeight="1" x14ac:dyDescent="0.25">
      <c r="A31" s="9" t="s">
        <v>381</v>
      </c>
      <c r="B31" s="9" t="s">
        <v>135</v>
      </c>
      <c r="C31" s="9" t="s">
        <v>101</v>
      </c>
      <c r="D31" s="9" t="s">
        <v>373</v>
      </c>
      <c r="E31" s="9" t="s">
        <v>152</v>
      </c>
      <c r="F31" s="9" t="s">
        <v>374</v>
      </c>
      <c r="G31" s="9" t="s">
        <v>382</v>
      </c>
      <c r="H31" s="9" t="s">
        <v>90</v>
      </c>
      <c r="I31" s="9" t="s">
        <v>383</v>
      </c>
      <c r="J31" s="9" t="s">
        <v>384</v>
      </c>
      <c r="K31" s="9" t="s">
        <v>385</v>
      </c>
      <c r="L31" s="9" t="s">
        <v>386</v>
      </c>
      <c r="M31" s="9" t="s">
        <v>158</v>
      </c>
      <c r="N31" s="9" t="s">
        <v>145</v>
      </c>
      <c r="O31" s="9" t="s">
        <v>146</v>
      </c>
      <c r="P31" s="9" t="s">
        <v>147</v>
      </c>
      <c r="Q31" s="9" t="s">
        <v>387</v>
      </c>
      <c r="R31" s="9" t="s">
        <v>59</v>
      </c>
      <c r="S31" s="9" t="s">
        <v>216</v>
      </c>
      <c r="T31" s="9"/>
      <c r="U31" s="12"/>
      <c r="V31" s="12"/>
      <c r="W31" s="12"/>
      <c r="X31" s="12" t="s">
        <v>150</v>
      </c>
      <c r="Y31" s="12"/>
      <c r="Z31" s="12"/>
    </row>
    <row r="32" spans="1:26" ht="90" customHeight="1" x14ac:dyDescent="0.25">
      <c r="A32" s="9" t="s">
        <v>388</v>
      </c>
      <c r="B32" s="9" t="s">
        <v>135</v>
      </c>
      <c r="C32" s="9" t="s">
        <v>101</v>
      </c>
      <c r="D32" s="9" t="s">
        <v>389</v>
      </c>
      <c r="E32" s="9" t="s">
        <v>137</v>
      </c>
      <c r="F32" s="9" t="s">
        <v>390</v>
      </c>
      <c r="G32" s="9" t="s">
        <v>391</v>
      </c>
      <c r="H32" s="9" t="s">
        <v>89</v>
      </c>
      <c r="I32" s="9" t="s">
        <v>392</v>
      </c>
      <c r="J32" s="9" t="s">
        <v>393</v>
      </c>
      <c r="K32" s="9" t="s">
        <v>360</v>
      </c>
      <c r="L32" s="9" t="s">
        <v>394</v>
      </c>
      <c r="M32" s="9" t="s">
        <v>177</v>
      </c>
      <c r="N32" s="9" t="s">
        <v>145</v>
      </c>
      <c r="O32" s="9" t="s">
        <v>146</v>
      </c>
      <c r="P32" s="9" t="s">
        <v>147</v>
      </c>
      <c r="Q32" s="9" t="s">
        <v>395</v>
      </c>
      <c r="R32" s="9" t="s">
        <v>59</v>
      </c>
      <c r="S32" s="9" t="s">
        <v>396</v>
      </c>
      <c r="T32" s="9"/>
      <c r="U32" s="12"/>
      <c r="V32" s="12"/>
      <c r="W32" s="12"/>
      <c r="X32" s="12" t="s">
        <v>150</v>
      </c>
      <c r="Y32" s="12"/>
      <c r="Z32" s="12"/>
    </row>
    <row r="33" spans="1:26" ht="90" customHeight="1" x14ac:dyDescent="0.25">
      <c r="A33" s="9" t="s">
        <v>397</v>
      </c>
      <c r="B33" s="9" t="s">
        <v>135</v>
      </c>
      <c r="C33" s="9" t="s">
        <v>101</v>
      </c>
      <c r="D33" s="9" t="s">
        <v>389</v>
      </c>
      <c r="E33" s="9" t="s">
        <v>152</v>
      </c>
      <c r="F33" s="9" t="s">
        <v>390</v>
      </c>
      <c r="G33" s="9" t="s">
        <v>398</v>
      </c>
      <c r="H33" s="9" t="s">
        <v>89</v>
      </c>
      <c r="I33" s="9" t="s">
        <v>399</v>
      </c>
      <c r="J33" s="9" t="s">
        <v>400</v>
      </c>
      <c r="K33" s="9" t="s">
        <v>401</v>
      </c>
      <c r="L33" s="9" t="s">
        <v>402</v>
      </c>
      <c r="M33" s="9" t="s">
        <v>177</v>
      </c>
      <c r="N33" s="9" t="s">
        <v>370</v>
      </c>
      <c r="O33" s="9" t="s">
        <v>244</v>
      </c>
      <c r="P33" s="9" t="s">
        <v>147</v>
      </c>
      <c r="Q33" s="9" t="s">
        <v>403</v>
      </c>
      <c r="R33" s="9" t="s">
        <v>59</v>
      </c>
      <c r="S33" s="9" t="s">
        <v>404</v>
      </c>
      <c r="T33" s="9" t="s">
        <v>405</v>
      </c>
      <c r="U33" s="12"/>
      <c r="V33" s="12"/>
      <c r="W33" s="12"/>
      <c r="X33" s="12" t="s">
        <v>150</v>
      </c>
      <c r="Y33" s="12"/>
      <c r="Z33" s="12"/>
    </row>
    <row r="34" spans="1:26" ht="90" customHeight="1" x14ac:dyDescent="0.25">
      <c r="A34" s="9" t="s">
        <v>406</v>
      </c>
      <c r="B34" s="9" t="s">
        <v>135</v>
      </c>
      <c r="C34" s="9" t="s">
        <v>101</v>
      </c>
      <c r="D34" s="9" t="s">
        <v>407</v>
      </c>
      <c r="E34" s="9" t="s">
        <v>137</v>
      </c>
      <c r="F34" s="9" t="s">
        <v>408</v>
      </c>
      <c r="G34" s="9" t="s">
        <v>409</v>
      </c>
      <c r="H34" s="9" t="s">
        <v>90</v>
      </c>
      <c r="I34" s="9" t="s">
        <v>410</v>
      </c>
      <c r="J34" s="9" t="s">
        <v>411</v>
      </c>
      <c r="K34" s="9" t="s">
        <v>412</v>
      </c>
      <c r="L34" s="9" t="s">
        <v>413</v>
      </c>
      <c r="M34" s="9" t="s">
        <v>144</v>
      </c>
      <c r="N34" s="9" t="s">
        <v>234</v>
      </c>
      <c r="O34" s="9" t="s">
        <v>146</v>
      </c>
      <c r="P34" s="9" t="s">
        <v>147</v>
      </c>
      <c r="Q34" s="9" t="s">
        <v>414</v>
      </c>
      <c r="R34" s="9" t="s">
        <v>59</v>
      </c>
      <c r="S34" s="9" t="s">
        <v>415</v>
      </c>
      <c r="T34" s="9"/>
      <c r="U34" s="12"/>
      <c r="V34" s="12"/>
      <c r="W34" s="12"/>
      <c r="X34" s="12" t="s">
        <v>150</v>
      </c>
      <c r="Y34" s="12"/>
      <c r="Z34" s="12"/>
    </row>
    <row r="35" spans="1:26" ht="90" customHeight="1" x14ac:dyDescent="0.25">
      <c r="A35" s="9" t="s">
        <v>416</v>
      </c>
      <c r="B35" s="9" t="s">
        <v>135</v>
      </c>
      <c r="C35" s="9" t="s">
        <v>101</v>
      </c>
      <c r="D35" s="9" t="s">
        <v>407</v>
      </c>
      <c r="E35" s="9" t="s">
        <v>152</v>
      </c>
      <c r="F35" s="9" t="s">
        <v>408</v>
      </c>
      <c r="G35" s="9" t="s">
        <v>417</v>
      </c>
      <c r="H35" s="9" t="s">
        <v>90</v>
      </c>
      <c r="I35" s="9" t="s">
        <v>410</v>
      </c>
      <c r="J35" s="9" t="s">
        <v>418</v>
      </c>
      <c r="K35" s="9" t="s">
        <v>419</v>
      </c>
      <c r="L35" s="9" t="s">
        <v>420</v>
      </c>
      <c r="M35" s="9" t="s">
        <v>295</v>
      </c>
      <c r="N35" s="9" t="s">
        <v>234</v>
      </c>
      <c r="O35" s="9"/>
      <c r="P35" s="9"/>
      <c r="Q35" s="9" t="s">
        <v>421</v>
      </c>
      <c r="R35" s="9" t="s">
        <v>150</v>
      </c>
      <c r="S35" s="9"/>
      <c r="T35" s="9"/>
      <c r="U35" s="12"/>
      <c r="V35" s="12"/>
      <c r="W35" s="12"/>
      <c r="X35" s="12" t="s">
        <v>150</v>
      </c>
      <c r="Y35" s="12"/>
      <c r="Z35" s="12"/>
    </row>
    <row r="36" spans="1:26" ht="90" customHeight="1" x14ac:dyDescent="0.25">
      <c r="A36" s="9" t="s">
        <v>422</v>
      </c>
      <c r="B36" s="9" t="s">
        <v>135</v>
      </c>
      <c r="C36" s="9" t="s">
        <v>101</v>
      </c>
      <c r="D36" s="9" t="s">
        <v>423</v>
      </c>
      <c r="E36" s="9" t="s">
        <v>137</v>
      </c>
      <c r="F36" s="9" t="s">
        <v>424</v>
      </c>
      <c r="G36" s="9" t="s">
        <v>425</v>
      </c>
      <c r="H36" s="9" t="s">
        <v>89</v>
      </c>
      <c r="I36" s="9" t="s">
        <v>426</v>
      </c>
      <c r="J36" s="9" t="s">
        <v>427</v>
      </c>
      <c r="K36" s="9" t="s">
        <v>428</v>
      </c>
      <c r="L36" s="9" t="s">
        <v>429</v>
      </c>
      <c r="M36" s="9" t="s">
        <v>144</v>
      </c>
      <c r="N36" s="9" t="s">
        <v>314</v>
      </c>
      <c r="O36" s="9" t="s">
        <v>146</v>
      </c>
      <c r="P36" s="9" t="s">
        <v>147</v>
      </c>
      <c r="Q36" s="9" t="s">
        <v>430</v>
      </c>
      <c r="R36" s="9" t="s">
        <v>59</v>
      </c>
      <c r="S36" s="9" t="s">
        <v>431</v>
      </c>
      <c r="T36" s="9"/>
      <c r="U36" s="12"/>
      <c r="V36" s="12"/>
      <c r="W36" s="12"/>
      <c r="X36" s="12" t="s">
        <v>150</v>
      </c>
      <c r="Y36" s="12"/>
      <c r="Z36" s="12"/>
    </row>
    <row r="37" spans="1:26" ht="90" customHeight="1" x14ac:dyDescent="0.25">
      <c r="A37" s="9" t="s">
        <v>432</v>
      </c>
      <c r="B37" s="9" t="s">
        <v>135</v>
      </c>
      <c r="C37" s="9" t="s">
        <v>101</v>
      </c>
      <c r="D37" s="9" t="s">
        <v>423</v>
      </c>
      <c r="E37" s="9" t="s">
        <v>152</v>
      </c>
      <c r="F37" s="9" t="s">
        <v>424</v>
      </c>
      <c r="G37" s="9" t="s">
        <v>433</v>
      </c>
      <c r="H37" s="9" t="s">
        <v>89</v>
      </c>
      <c r="I37" s="9" t="s">
        <v>434</v>
      </c>
      <c r="J37" s="9" t="s">
        <v>427</v>
      </c>
      <c r="K37" s="9" t="s">
        <v>435</v>
      </c>
      <c r="L37" s="9" t="s">
        <v>436</v>
      </c>
      <c r="M37" s="9" t="s">
        <v>144</v>
      </c>
      <c r="N37" s="9" t="s">
        <v>314</v>
      </c>
      <c r="O37" s="9" t="s">
        <v>146</v>
      </c>
      <c r="P37" s="9" t="s">
        <v>147</v>
      </c>
      <c r="Q37" s="9" t="s">
        <v>437</v>
      </c>
      <c r="R37" s="9" t="s">
        <v>59</v>
      </c>
      <c r="S37" s="9" t="s">
        <v>438</v>
      </c>
      <c r="T37" s="9"/>
      <c r="U37" s="12"/>
      <c r="V37" s="12"/>
      <c r="W37" s="12"/>
      <c r="X37" s="12" t="s">
        <v>150</v>
      </c>
      <c r="Y37" s="12"/>
      <c r="Z37" s="12"/>
    </row>
    <row r="38" spans="1:26" ht="90" customHeight="1" x14ac:dyDescent="0.25">
      <c r="A38" s="9" t="s">
        <v>439</v>
      </c>
      <c r="B38" s="9" t="s">
        <v>135</v>
      </c>
      <c r="C38" s="9" t="s">
        <v>101</v>
      </c>
      <c r="D38" s="9" t="s">
        <v>440</v>
      </c>
      <c r="E38" s="9" t="s">
        <v>137</v>
      </c>
      <c r="F38" s="9" t="s">
        <v>441</v>
      </c>
      <c r="G38" s="9" t="s">
        <v>442</v>
      </c>
      <c r="H38" s="9" t="s">
        <v>89</v>
      </c>
      <c r="I38" s="9" t="s">
        <v>443</v>
      </c>
      <c r="J38" s="9" t="s">
        <v>444</v>
      </c>
      <c r="K38" s="9" t="s">
        <v>360</v>
      </c>
      <c r="L38" s="9" t="s">
        <v>445</v>
      </c>
      <c r="M38" s="9" t="s">
        <v>195</v>
      </c>
      <c r="N38" s="9" t="s">
        <v>145</v>
      </c>
      <c r="O38" s="9" t="s">
        <v>146</v>
      </c>
      <c r="P38" s="9" t="s">
        <v>147</v>
      </c>
      <c r="Q38" s="9" t="s">
        <v>446</v>
      </c>
      <c r="R38" s="9" t="s">
        <v>59</v>
      </c>
      <c r="S38" s="9" t="s">
        <v>447</v>
      </c>
      <c r="T38" s="9"/>
      <c r="U38" s="12"/>
      <c r="V38" s="12"/>
      <c r="W38" s="12"/>
      <c r="X38" s="12" t="s">
        <v>150</v>
      </c>
      <c r="Y38" s="12"/>
      <c r="Z38" s="12"/>
    </row>
    <row r="39" spans="1:26" ht="90" customHeight="1" x14ac:dyDescent="0.25">
      <c r="A39" s="9" t="s">
        <v>448</v>
      </c>
      <c r="B39" s="9" t="s">
        <v>135</v>
      </c>
      <c r="C39" s="9" t="s">
        <v>101</v>
      </c>
      <c r="D39" s="9" t="s">
        <v>440</v>
      </c>
      <c r="E39" s="9" t="s">
        <v>152</v>
      </c>
      <c r="F39" s="9" t="s">
        <v>441</v>
      </c>
      <c r="G39" s="9" t="s">
        <v>449</v>
      </c>
      <c r="H39" s="9" t="s">
        <v>91</v>
      </c>
      <c r="I39" s="9" t="s">
        <v>450</v>
      </c>
      <c r="J39" s="9" t="s">
        <v>451</v>
      </c>
      <c r="K39" s="9" t="s">
        <v>452</v>
      </c>
      <c r="L39" s="9" t="s">
        <v>453</v>
      </c>
      <c r="M39" s="9" t="s">
        <v>144</v>
      </c>
      <c r="N39" s="9" t="s">
        <v>234</v>
      </c>
      <c r="O39" s="9" t="s">
        <v>146</v>
      </c>
      <c r="P39" s="9" t="s">
        <v>147</v>
      </c>
      <c r="Q39" s="9" t="s">
        <v>454</v>
      </c>
      <c r="R39" s="9" t="s">
        <v>59</v>
      </c>
      <c r="S39" s="9" t="s">
        <v>455</v>
      </c>
      <c r="T39" s="9"/>
      <c r="U39" s="12"/>
      <c r="V39" s="12"/>
      <c r="W39" s="12"/>
      <c r="X39" s="12" t="s">
        <v>150</v>
      </c>
      <c r="Y39" s="12"/>
      <c r="Z39" s="12"/>
    </row>
    <row r="40" spans="1:26" ht="90" customHeight="1" x14ac:dyDescent="0.25">
      <c r="A40" s="9" t="s">
        <v>456</v>
      </c>
      <c r="B40" s="9" t="s">
        <v>135</v>
      </c>
      <c r="C40" s="9" t="s">
        <v>101</v>
      </c>
      <c r="D40" s="9" t="s">
        <v>457</v>
      </c>
      <c r="E40" s="9" t="s">
        <v>137</v>
      </c>
      <c r="F40" s="9" t="s">
        <v>458</v>
      </c>
      <c r="G40" s="9" t="s">
        <v>459</v>
      </c>
      <c r="H40" s="9" t="s">
        <v>90</v>
      </c>
      <c r="I40" s="9" t="s">
        <v>460</v>
      </c>
      <c r="J40" s="9" t="s">
        <v>461</v>
      </c>
      <c r="K40" s="9" t="s">
        <v>452</v>
      </c>
      <c r="L40" s="9" t="s">
        <v>462</v>
      </c>
      <c r="M40" s="9" t="s">
        <v>144</v>
      </c>
      <c r="N40" s="9" t="s">
        <v>145</v>
      </c>
      <c r="O40" s="9" t="s">
        <v>146</v>
      </c>
      <c r="P40" s="9" t="s">
        <v>147</v>
      </c>
      <c r="Q40" s="9" t="s">
        <v>463</v>
      </c>
      <c r="R40" s="9" t="s">
        <v>59</v>
      </c>
      <c r="S40" s="9" t="s">
        <v>464</v>
      </c>
      <c r="T40" s="9"/>
      <c r="U40" s="12"/>
      <c r="V40" s="12"/>
      <c r="W40" s="12"/>
      <c r="X40" s="12" t="s">
        <v>150</v>
      </c>
      <c r="Y40" s="12"/>
      <c r="Z40" s="12"/>
    </row>
    <row r="41" spans="1:26" ht="90" customHeight="1" x14ac:dyDescent="0.25">
      <c r="A41" s="9" t="s">
        <v>465</v>
      </c>
      <c r="B41" s="9" t="s">
        <v>135</v>
      </c>
      <c r="C41" s="9" t="s">
        <v>101</v>
      </c>
      <c r="D41" s="9" t="s">
        <v>457</v>
      </c>
      <c r="E41" s="9" t="s">
        <v>152</v>
      </c>
      <c r="F41" s="9" t="s">
        <v>458</v>
      </c>
      <c r="G41" s="9" t="s">
        <v>466</v>
      </c>
      <c r="H41" s="9" t="s">
        <v>89</v>
      </c>
      <c r="I41" s="9" t="s">
        <v>467</v>
      </c>
      <c r="J41" s="9" t="s">
        <v>468</v>
      </c>
      <c r="K41" s="9" t="s">
        <v>469</v>
      </c>
      <c r="L41" s="9" t="s">
        <v>470</v>
      </c>
      <c r="M41" s="9" t="s">
        <v>177</v>
      </c>
      <c r="N41" s="9" t="s">
        <v>145</v>
      </c>
      <c r="O41" s="9" t="s">
        <v>146</v>
      </c>
      <c r="P41" s="9" t="s">
        <v>147</v>
      </c>
      <c r="Q41" s="9" t="s">
        <v>471</v>
      </c>
      <c r="R41" s="9" t="s">
        <v>59</v>
      </c>
      <c r="S41" s="9" t="s">
        <v>472</v>
      </c>
      <c r="T41" s="9"/>
      <c r="U41" s="12"/>
      <c r="V41" s="12"/>
      <c r="W41" s="12"/>
      <c r="X41" s="12" t="s">
        <v>150</v>
      </c>
      <c r="Y41" s="12"/>
      <c r="Z41" s="12"/>
    </row>
    <row r="42" spans="1:26" ht="90" customHeight="1" x14ac:dyDescent="0.25">
      <c r="A42" s="9" t="s">
        <v>473</v>
      </c>
      <c r="B42" s="9" t="s">
        <v>135</v>
      </c>
      <c r="C42" s="9" t="s">
        <v>101</v>
      </c>
      <c r="D42" s="9" t="s">
        <v>474</v>
      </c>
      <c r="E42" s="9" t="s">
        <v>137</v>
      </c>
      <c r="F42" s="9" t="s">
        <v>475</v>
      </c>
      <c r="G42" s="9" t="s">
        <v>476</v>
      </c>
      <c r="H42" s="9" t="s">
        <v>90</v>
      </c>
      <c r="I42" s="9" t="s">
        <v>477</v>
      </c>
      <c r="J42" s="9" t="s">
        <v>478</v>
      </c>
      <c r="K42" s="9" t="s">
        <v>452</v>
      </c>
      <c r="L42" s="9" t="s">
        <v>479</v>
      </c>
      <c r="M42" s="9" t="s">
        <v>144</v>
      </c>
      <c r="N42" s="9" t="s">
        <v>145</v>
      </c>
      <c r="O42" s="9" t="s">
        <v>146</v>
      </c>
      <c r="P42" s="9" t="s">
        <v>147</v>
      </c>
      <c r="Q42" s="9" t="s">
        <v>480</v>
      </c>
      <c r="R42" s="9" t="s">
        <v>59</v>
      </c>
      <c r="S42" s="9" t="s">
        <v>481</v>
      </c>
      <c r="T42" s="9"/>
      <c r="U42" s="12"/>
      <c r="V42" s="12"/>
      <c r="W42" s="12"/>
      <c r="X42" s="12" t="s">
        <v>150</v>
      </c>
      <c r="Y42" s="12"/>
      <c r="Z42" s="12"/>
    </row>
    <row r="43" spans="1:26" ht="90" customHeight="1" x14ac:dyDescent="0.25">
      <c r="A43" s="9" t="s">
        <v>482</v>
      </c>
      <c r="B43" s="9" t="s">
        <v>135</v>
      </c>
      <c r="C43" s="9" t="s">
        <v>101</v>
      </c>
      <c r="D43" s="9" t="s">
        <v>474</v>
      </c>
      <c r="E43" s="9" t="s">
        <v>152</v>
      </c>
      <c r="F43" s="9" t="s">
        <v>475</v>
      </c>
      <c r="G43" s="9" t="s">
        <v>483</v>
      </c>
      <c r="H43" s="9" t="s">
        <v>90</v>
      </c>
      <c r="I43" s="9" t="s">
        <v>484</v>
      </c>
      <c r="J43" s="9" t="s">
        <v>485</v>
      </c>
      <c r="K43" s="9" t="s">
        <v>452</v>
      </c>
      <c r="L43" s="9" t="s">
        <v>486</v>
      </c>
      <c r="M43" s="9" t="s">
        <v>144</v>
      </c>
      <c r="N43" s="9" t="s">
        <v>234</v>
      </c>
      <c r="O43" s="9" t="s">
        <v>146</v>
      </c>
      <c r="P43" s="9" t="s">
        <v>147</v>
      </c>
      <c r="Q43" s="9" t="s">
        <v>487</v>
      </c>
      <c r="R43" s="9" t="s">
        <v>59</v>
      </c>
      <c r="S43" s="9" t="s">
        <v>481</v>
      </c>
      <c r="T43" s="9"/>
      <c r="U43" s="12"/>
      <c r="V43" s="12"/>
      <c r="W43" s="12"/>
      <c r="X43" s="12" t="s">
        <v>150</v>
      </c>
      <c r="Y43" s="12"/>
      <c r="Z43" s="12"/>
    </row>
    <row r="44" spans="1:26" ht="90" customHeight="1" x14ac:dyDescent="0.25">
      <c r="A44" s="9" t="s">
        <v>488</v>
      </c>
      <c r="B44" s="9" t="s">
        <v>135</v>
      </c>
      <c r="C44" s="9" t="s">
        <v>102</v>
      </c>
      <c r="D44" s="9" t="s">
        <v>489</v>
      </c>
      <c r="E44" s="9" t="s">
        <v>137</v>
      </c>
      <c r="F44" s="9" t="s">
        <v>490</v>
      </c>
      <c r="G44" s="9" t="s">
        <v>491</v>
      </c>
      <c r="H44" s="9" t="s">
        <v>90</v>
      </c>
      <c r="I44" s="9" t="s">
        <v>492</v>
      </c>
      <c r="J44" s="9" t="s">
        <v>493</v>
      </c>
      <c r="K44" s="9" t="s">
        <v>452</v>
      </c>
      <c r="L44" s="9" t="s">
        <v>494</v>
      </c>
      <c r="M44" s="9" t="s">
        <v>144</v>
      </c>
      <c r="N44" s="9" t="s">
        <v>145</v>
      </c>
      <c r="O44" s="9" t="s">
        <v>146</v>
      </c>
      <c r="P44" s="9" t="s">
        <v>147</v>
      </c>
      <c r="Q44" s="9" t="s">
        <v>495</v>
      </c>
      <c r="R44" s="9" t="s">
        <v>59</v>
      </c>
      <c r="S44" s="9" t="s">
        <v>496</v>
      </c>
      <c r="T44" s="9"/>
      <c r="U44" s="12"/>
      <c r="V44" s="12"/>
      <c r="W44" s="12"/>
      <c r="X44" s="12" t="s">
        <v>150</v>
      </c>
      <c r="Y44" s="12"/>
      <c r="Z44" s="12"/>
    </row>
    <row r="45" spans="1:26" ht="90" customHeight="1" x14ac:dyDescent="0.25">
      <c r="A45" s="9" t="s">
        <v>497</v>
      </c>
      <c r="B45" s="9" t="s">
        <v>135</v>
      </c>
      <c r="C45" s="9" t="s">
        <v>102</v>
      </c>
      <c r="D45" s="9" t="s">
        <v>489</v>
      </c>
      <c r="E45" s="9" t="s">
        <v>152</v>
      </c>
      <c r="F45" s="9" t="s">
        <v>490</v>
      </c>
      <c r="G45" s="9" t="s">
        <v>498</v>
      </c>
      <c r="H45" s="9" t="s">
        <v>90</v>
      </c>
      <c r="I45" s="9" t="s">
        <v>499</v>
      </c>
      <c r="J45" s="9" t="s">
        <v>500</v>
      </c>
      <c r="K45" s="9" t="s">
        <v>501</v>
      </c>
      <c r="L45" s="9" t="s">
        <v>502</v>
      </c>
      <c r="M45" s="9" t="s">
        <v>144</v>
      </c>
      <c r="N45" s="9" t="s">
        <v>145</v>
      </c>
      <c r="O45" s="9" t="s">
        <v>146</v>
      </c>
      <c r="P45" s="9" t="s">
        <v>147</v>
      </c>
      <c r="Q45" s="9" t="s">
        <v>503</v>
      </c>
      <c r="R45" s="9" t="s">
        <v>59</v>
      </c>
      <c r="S45" s="9" t="s">
        <v>504</v>
      </c>
      <c r="T45" s="9"/>
      <c r="U45" s="12"/>
      <c r="V45" s="12"/>
      <c r="W45" s="12"/>
      <c r="X45" s="12" t="s">
        <v>150</v>
      </c>
      <c r="Y45" s="12"/>
      <c r="Z45" s="12"/>
    </row>
    <row r="46" spans="1:26" ht="90" customHeight="1" x14ac:dyDescent="0.25">
      <c r="A46" s="9" t="s">
        <v>505</v>
      </c>
      <c r="B46" s="9" t="s">
        <v>135</v>
      </c>
      <c r="C46" s="9" t="s">
        <v>102</v>
      </c>
      <c r="D46" s="9" t="s">
        <v>506</v>
      </c>
      <c r="E46" s="9" t="s">
        <v>137</v>
      </c>
      <c r="F46" s="9" t="s">
        <v>507</v>
      </c>
      <c r="G46" s="9" t="s">
        <v>508</v>
      </c>
      <c r="H46" s="9" t="s">
        <v>89</v>
      </c>
      <c r="I46" s="9" t="s">
        <v>509</v>
      </c>
      <c r="J46" s="9" t="s">
        <v>510</v>
      </c>
      <c r="K46" s="9" t="s">
        <v>511</v>
      </c>
      <c r="L46" s="9" t="s">
        <v>512</v>
      </c>
      <c r="M46" s="9" t="s">
        <v>158</v>
      </c>
      <c r="N46" s="9" t="s">
        <v>145</v>
      </c>
      <c r="O46" s="9" t="s">
        <v>146</v>
      </c>
      <c r="P46" s="9" t="s">
        <v>147</v>
      </c>
      <c r="Q46" s="9" t="s">
        <v>513</v>
      </c>
      <c r="R46" s="9" t="s">
        <v>59</v>
      </c>
      <c r="S46" s="9" t="s">
        <v>514</v>
      </c>
      <c r="T46" s="9"/>
      <c r="U46" s="12"/>
      <c r="V46" s="12"/>
      <c r="W46" s="12"/>
      <c r="X46" s="12" t="s">
        <v>150</v>
      </c>
      <c r="Y46" s="12"/>
      <c r="Z46" s="12"/>
    </row>
    <row r="47" spans="1:26" ht="90" customHeight="1" x14ac:dyDescent="0.25">
      <c r="A47" s="9" t="s">
        <v>515</v>
      </c>
      <c r="B47" s="9" t="s">
        <v>135</v>
      </c>
      <c r="C47" s="9" t="s">
        <v>102</v>
      </c>
      <c r="D47" s="9" t="s">
        <v>506</v>
      </c>
      <c r="E47" s="9" t="s">
        <v>152</v>
      </c>
      <c r="F47" s="9" t="s">
        <v>507</v>
      </c>
      <c r="G47" s="9" t="s">
        <v>516</v>
      </c>
      <c r="H47" s="9" t="s">
        <v>89</v>
      </c>
      <c r="I47" s="9" t="s">
        <v>517</v>
      </c>
      <c r="J47" s="9" t="s">
        <v>518</v>
      </c>
      <c r="K47" s="9" t="s">
        <v>519</v>
      </c>
      <c r="L47" s="9" t="s">
        <v>520</v>
      </c>
      <c r="M47" s="9" t="s">
        <v>195</v>
      </c>
      <c r="N47" s="9" t="s">
        <v>145</v>
      </c>
      <c r="O47" s="9"/>
      <c r="P47" s="9"/>
      <c r="Q47" s="9" t="s">
        <v>521</v>
      </c>
      <c r="R47" s="9" t="s">
        <v>150</v>
      </c>
      <c r="S47" s="9"/>
      <c r="T47" s="9"/>
      <c r="U47" s="12"/>
      <c r="V47" s="12"/>
      <c r="W47" s="12"/>
      <c r="X47" s="12" t="s">
        <v>150</v>
      </c>
      <c r="Y47" s="12"/>
      <c r="Z47" s="12"/>
    </row>
    <row r="48" spans="1:26" ht="90" customHeight="1" x14ac:dyDescent="0.25">
      <c r="A48" s="9" t="s">
        <v>522</v>
      </c>
      <c r="B48" s="9" t="s">
        <v>135</v>
      </c>
      <c r="C48" s="9" t="s">
        <v>102</v>
      </c>
      <c r="D48" s="9" t="s">
        <v>523</v>
      </c>
      <c r="E48" s="9" t="s">
        <v>137</v>
      </c>
      <c r="F48" s="9" t="s">
        <v>524</v>
      </c>
      <c r="G48" s="9" t="s">
        <v>525</v>
      </c>
      <c r="H48" s="9" t="s">
        <v>90</v>
      </c>
      <c r="I48" s="9" t="s">
        <v>492</v>
      </c>
      <c r="J48" s="9" t="s">
        <v>461</v>
      </c>
      <c r="K48" s="9" t="s">
        <v>452</v>
      </c>
      <c r="L48" s="9" t="s">
        <v>526</v>
      </c>
      <c r="M48" s="9" t="s">
        <v>144</v>
      </c>
      <c r="N48" s="9" t="s">
        <v>145</v>
      </c>
      <c r="O48" s="9" t="s">
        <v>146</v>
      </c>
      <c r="P48" s="9" t="s">
        <v>147</v>
      </c>
      <c r="Q48" s="9" t="s">
        <v>527</v>
      </c>
      <c r="R48" s="9" t="s">
        <v>59</v>
      </c>
      <c r="S48" s="9" t="s">
        <v>528</v>
      </c>
      <c r="T48" s="9"/>
      <c r="U48" s="12"/>
      <c r="V48" s="12"/>
      <c r="W48" s="12"/>
      <c r="X48" s="12" t="s">
        <v>150</v>
      </c>
      <c r="Y48" s="12"/>
      <c r="Z48" s="12"/>
    </row>
    <row r="49" spans="1:26" ht="90" customHeight="1" x14ac:dyDescent="0.25">
      <c r="A49" s="9" t="s">
        <v>529</v>
      </c>
      <c r="B49" s="9" t="s">
        <v>135</v>
      </c>
      <c r="C49" s="9" t="s">
        <v>102</v>
      </c>
      <c r="D49" s="9" t="s">
        <v>523</v>
      </c>
      <c r="E49" s="9" t="s">
        <v>152</v>
      </c>
      <c r="F49" s="9" t="s">
        <v>524</v>
      </c>
      <c r="G49" s="9" t="s">
        <v>530</v>
      </c>
      <c r="H49" s="9" t="s">
        <v>91</v>
      </c>
      <c r="I49" s="9" t="s">
        <v>531</v>
      </c>
      <c r="J49" s="9" t="s">
        <v>532</v>
      </c>
      <c r="K49" s="9" t="s">
        <v>360</v>
      </c>
      <c r="L49" s="9" t="s">
        <v>533</v>
      </c>
      <c r="M49" s="9" t="s">
        <v>177</v>
      </c>
      <c r="N49" s="9" t="s">
        <v>234</v>
      </c>
      <c r="O49" s="9" t="s">
        <v>146</v>
      </c>
      <c r="P49" s="9" t="s">
        <v>147</v>
      </c>
      <c r="Q49" s="9" t="s">
        <v>534</v>
      </c>
      <c r="R49" s="9" t="s">
        <v>59</v>
      </c>
      <c r="S49" s="9" t="s">
        <v>535</v>
      </c>
      <c r="T49" s="9"/>
      <c r="U49" s="12"/>
      <c r="V49" s="12"/>
      <c r="W49" s="12"/>
      <c r="X49" s="12" t="s">
        <v>150</v>
      </c>
      <c r="Y49" s="12"/>
      <c r="Z49" s="12"/>
    </row>
    <row r="50" spans="1:26" ht="90" customHeight="1" x14ac:dyDescent="0.25">
      <c r="A50" s="9" t="s">
        <v>536</v>
      </c>
      <c r="B50" s="9" t="s">
        <v>135</v>
      </c>
      <c r="C50" s="9" t="s">
        <v>102</v>
      </c>
      <c r="D50" s="9" t="s">
        <v>537</v>
      </c>
      <c r="E50" s="9" t="s">
        <v>137</v>
      </c>
      <c r="F50" s="9" t="s">
        <v>538</v>
      </c>
      <c r="G50" s="9" t="s">
        <v>539</v>
      </c>
      <c r="H50" s="9" t="s">
        <v>90</v>
      </c>
      <c r="I50" s="9" t="s">
        <v>477</v>
      </c>
      <c r="J50" s="9" t="s">
        <v>540</v>
      </c>
      <c r="K50" s="9" t="s">
        <v>452</v>
      </c>
      <c r="L50" s="9" t="s">
        <v>541</v>
      </c>
      <c r="M50" s="9" t="s">
        <v>144</v>
      </c>
      <c r="N50" s="9" t="s">
        <v>145</v>
      </c>
      <c r="O50" s="9" t="s">
        <v>146</v>
      </c>
      <c r="P50" s="9" t="s">
        <v>147</v>
      </c>
      <c r="Q50" s="9" t="s">
        <v>542</v>
      </c>
      <c r="R50" s="9" t="s">
        <v>59</v>
      </c>
      <c r="S50" s="9" t="s">
        <v>543</v>
      </c>
      <c r="T50" s="9"/>
      <c r="U50" s="12"/>
      <c r="V50" s="12"/>
      <c r="W50" s="12"/>
      <c r="X50" s="12" t="s">
        <v>150</v>
      </c>
      <c r="Y50" s="12"/>
      <c r="Z50" s="12"/>
    </row>
    <row r="51" spans="1:26" ht="90" customHeight="1" x14ac:dyDescent="0.25">
      <c r="A51" s="9" t="s">
        <v>544</v>
      </c>
      <c r="B51" s="9" t="s">
        <v>135</v>
      </c>
      <c r="C51" s="9" t="s">
        <v>102</v>
      </c>
      <c r="D51" s="9" t="s">
        <v>537</v>
      </c>
      <c r="E51" s="9" t="s">
        <v>152</v>
      </c>
      <c r="F51" s="9" t="s">
        <v>538</v>
      </c>
      <c r="G51" s="9" t="s">
        <v>545</v>
      </c>
      <c r="H51" s="9" t="s">
        <v>91</v>
      </c>
      <c r="I51" s="9" t="s">
        <v>546</v>
      </c>
      <c r="J51" s="9" t="s">
        <v>547</v>
      </c>
      <c r="K51" s="9" t="s">
        <v>452</v>
      </c>
      <c r="L51" s="9" t="s">
        <v>548</v>
      </c>
      <c r="M51" s="9" t="s">
        <v>177</v>
      </c>
      <c r="N51" s="9" t="s">
        <v>234</v>
      </c>
      <c r="O51" s="9" t="s">
        <v>146</v>
      </c>
      <c r="P51" s="9" t="s">
        <v>147</v>
      </c>
      <c r="Q51" s="9" t="s">
        <v>549</v>
      </c>
      <c r="R51" s="9" t="s">
        <v>59</v>
      </c>
      <c r="S51" s="9" t="s">
        <v>550</v>
      </c>
      <c r="T51" s="9"/>
      <c r="U51" s="12"/>
      <c r="V51" s="12"/>
      <c r="W51" s="12"/>
      <c r="X51" s="12" t="s">
        <v>150</v>
      </c>
      <c r="Y51" s="12"/>
      <c r="Z51" s="12"/>
    </row>
    <row r="52" spans="1:26" ht="90" customHeight="1" x14ac:dyDescent="0.25">
      <c r="A52" s="9" t="s">
        <v>551</v>
      </c>
      <c r="B52" s="9" t="s">
        <v>135</v>
      </c>
      <c r="C52" s="9" t="s">
        <v>102</v>
      </c>
      <c r="D52" s="9" t="s">
        <v>552</v>
      </c>
      <c r="E52" s="9" t="s">
        <v>137</v>
      </c>
      <c r="F52" s="9" t="s">
        <v>507</v>
      </c>
      <c r="G52" s="9" t="s">
        <v>553</v>
      </c>
      <c r="H52" s="9" t="s">
        <v>89</v>
      </c>
      <c r="I52" s="9" t="s">
        <v>554</v>
      </c>
      <c r="J52" s="9" t="s">
        <v>555</v>
      </c>
      <c r="K52" s="9" t="s">
        <v>556</v>
      </c>
      <c r="L52" s="9" t="s">
        <v>557</v>
      </c>
      <c r="M52" s="9" t="s">
        <v>195</v>
      </c>
      <c r="N52" s="9" t="s">
        <v>145</v>
      </c>
      <c r="O52" s="9"/>
      <c r="P52" s="9"/>
      <c r="Q52" s="9" t="s">
        <v>558</v>
      </c>
      <c r="R52" s="9" t="s">
        <v>150</v>
      </c>
      <c r="S52" s="9"/>
      <c r="T52" s="9"/>
      <c r="U52" s="12"/>
      <c r="V52" s="12"/>
      <c r="W52" s="12"/>
      <c r="X52" s="12" t="s">
        <v>150</v>
      </c>
      <c r="Y52" s="12"/>
      <c r="Z52" s="12"/>
    </row>
    <row r="53" spans="1:26" ht="90" customHeight="1" x14ac:dyDescent="0.25">
      <c r="A53" s="9" t="s">
        <v>559</v>
      </c>
      <c r="B53" s="9" t="s">
        <v>135</v>
      </c>
      <c r="C53" s="9" t="s">
        <v>102</v>
      </c>
      <c r="D53" s="9" t="s">
        <v>552</v>
      </c>
      <c r="E53" s="9" t="s">
        <v>152</v>
      </c>
      <c r="F53" s="9" t="s">
        <v>507</v>
      </c>
      <c r="G53" s="9" t="s">
        <v>560</v>
      </c>
      <c r="H53" s="9" t="s">
        <v>90</v>
      </c>
      <c r="I53" s="9" t="s">
        <v>517</v>
      </c>
      <c r="J53" s="9" t="s">
        <v>561</v>
      </c>
      <c r="K53" s="9" t="s">
        <v>556</v>
      </c>
      <c r="L53" s="9" t="s">
        <v>562</v>
      </c>
      <c r="M53" s="9" t="s">
        <v>195</v>
      </c>
      <c r="N53" s="9" t="s">
        <v>145</v>
      </c>
      <c r="O53" s="9"/>
      <c r="P53" s="9"/>
      <c r="Q53" s="9" t="s">
        <v>563</v>
      </c>
      <c r="R53" s="9" t="s">
        <v>150</v>
      </c>
      <c r="S53" s="9"/>
      <c r="T53" s="9"/>
      <c r="U53" s="12"/>
      <c r="V53" s="12"/>
      <c r="W53" s="12"/>
      <c r="X53" s="12" t="s">
        <v>150</v>
      </c>
      <c r="Y53" s="12"/>
      <c r="Z53" s="12"/>
    </row>
    <row r="54" spans="1:26" ht="90" customHeight="1" x14ac:dyDescent="0.25">
      <c r="A54" s="9" t="s">
        <v>564</v>
      </c>
      <c r="B54" s="9" t="s">
        <v>135</v>
      </c>
      <c r="C54" s="9" t="s">
        <v>103</v>
      </c>
      <c r="D54" s="9" t="s">
        <v>565</v>
      </c>
      <c r="E54" s="9" t="s">
        <v>137</v>
      </c>
      <c r="F54" s="9" t="s">
        <v>566</v>
      </c>
      <c r="G54" s="9" t="s">
        <v>567</v>
      </c>
      <c r="H54" s="9" t="s">
        <v>89</v>
      </c>
      <c r="I54" s="9" t="s">
        <v>568</v>
      </c>
      <c r="J54" s="9" t="s">
        <v>569</v>
      </c>
      <c r="K54" s="9" t="s">
        <v>570</v>
      </c>
      <c r="L54" s="9" t="s">
        <v>571</v>
      </c>
      <c r="M54" s="9" t="s">
        <v>144</v>
      </c>
      <c r="N54" s="9" t="s">
        <v>572</v>
      </c>
      <c r="O54" s="9" t="s">
        <v>146</v>
      </c>
      <c r="P54" s="9" t="s">
        <v>147</v>
      </c>
      <c r="Q54" s="9" t="s">
        <v>573</v>
      </c>
      <c r="R54" s="9" t="s">
        <v>59</v>
      </c>
      <c r="S54" s="9" t="s">
        <v>574</v>
      </c>
      <c r="T54" s="9"/>
      <c r="U54" s="12"/>
      <c r="V54" s="12"/>
      <c r="W54" s="12"/>
      <c r="X54" s="12" t="s">
        <v>150</v>
      </c>
      <c r="Y54" s="12"/>
      <c r="Z54" s="12"/>
    </row>
    <row r="55" spans="1:26" ht="90" customHeight="1" x14ac:dyDescent="0.25">
      <c r="A55" s="9" t="s">
        <v>575</v>
      </c>
      <c r="B55" s="9" t="s">
        <v>135</v>
      </c>
      <c r="C55" s="9" t="s">
        <v>103</v>
      </c>
      <c r="D55" s="9" t="s">
        <v>565</v>
      </c>
      <c r="E55" s="9" t="s">
        <v>152</v>
      </c>
      <c r="F55" s="9" t="s">
        <v>566</v>
      </c>
      <c r="G55" s="9" t="s">
        <v>576</v>
      </c>
      <c r="H55" s="9" t="s">
        <v>89</v>
      </c>
      <c r="I55" s="9" t="s">
        <v>577</v>
      </c>
      <c r="J55" s="9" t="s">
        <v>578</v>
      </c>
      <c r="K55" s="9" t="s">
        <v>579</v>
      </c>
      <c r="L55" s="9" t="s">
        <v>580</v>
      </c>
      <c r="M55" s="9" t="s">
        <v>581</v>
      </c>
      <c r="N55" s="9" t="s">
        <v>572</v>
      </c>
      <c r="O55" s="9" t="s">
        <v>146</v>
      </c>
      <c r="P55" s="9" t="s">
        <v>147</v>
      </c>
      <c r="Q55" s="9" t="s">
        <v>582</v>
      </c>
      <c r="R55" s="9" t="s">
        <v>59</v>
      </c>
      <c r="S55" s="9" t="s">
        <v>583</v>
      </c>
      <c r="T55" s="9"/>
      <c r="U55" s="12"/>
      <c r="V55" s="12"/>
      <c r="W55" s="12"/>
      <c r="X55" s="12" t="s">
        <v>150</v>
      </c>
      <c r="Y55" s="12"/>
      <c r="Z55" s="12"/>
    </row>
    <row r="56" spans="1:26" ht="90" customHeight="1" x14ac:dyDescent="0.25">
      <c r="A56" s="9" t="s">
        <v>584</v>
      </c>
      <c r="B56" s="9" t="s">
        <v>585</v>
      </c>
      <c r="C56" s="9" t="s">
        <v>104</v>
      </c>
      <c r="D56" s="9" t="s">
        <v>586</v>
      </c>
      <c r="E56" s="9" t="s">
        <v>452</v>
      </c>
      <c r="F56" s="9" t="s">
        <v>586</v>
      </c>
      <c r="G56" s="9" t="s">
        <v>587</v>
      </c>
      <c r="H56" s="9" t="s">
        <v>89</v>
      </c>
      <c r="I56" s="9" t="s">
        <v>588</v>
      </c>
      <c r="J56" s="9" t="s">
        <v>589</v>
      </c>
      <c r="K56" s="9" t="s">
        <v>590</v>
      </c>
      <c r="L56" s="9" t="s">
        <v>591</v>
      </c>
      <c r="M56" s="9" t="s">
        <v>592</v>
      </c>
      <c r="N56" s="9" t="s">
        <v>593</v>
      </c>
      <c r="O56" s="9" t="s">
        <v>146</v>
      </c>
      <c r="P56" s="9" t="s">
        <v>147</v>
      </c>
      <c r="Q56" s="9" t="s">
        <v>594</v>
      </c>
      <c r="R56" s="9" t="s">
        <v>59</v>
      </c>
      <c r="S56" s="9" t="s">
        <v>595</v>
      </c>
      <c r="T56" s="9"/>
      <c r="U56" s="12"/>
      <c r="V56" s="12"/>
      <c r="W56" s="12"/>
      <c r="X56" s="12" t="s">
        <v>150</v>
      </c>
      <c r="Y56" s="12"/>
      <c r="Z56" s="12"/>
    </row>
    <row r="57" spans="1:26" ht="90" customHeight="1" x14ac:dyDescent="0.25">
      <c r="A57" s="9" t="s">
        <v>596</v>
      </c>
      <c r="B57" s="9" t="s">
        <v>585</v>
      </c>
      <c r="C57" s="9" t="s">
        <v>104</v>
      </c>
      <c r="D57" s="9" t="s">
        <v>586</v>
      </c>
      <c r="E57" s="9" t="s">
        <v>452</v>
      </c>
      <c r="F57" s="9" t="s">
        <v>586</v>
      </c>
      <c r="G57" s="9" t="s">
        <v>597</v>
      </c>
      <c r="H57" s="9" t="s">
        <v>89</v>
      </c>
      <c r="I57" s="9" t="s">
        <v>588</v>
      </c>
      <c r="J57" s="9" t="s">
        <v>598</v>
      </c>
      <c r="K57" s="9" t="s">
        <v>590</v>
      </c>
      <c r="L57" s="9" t="s">
        <v>599</v>
      </c>
      <c r="M57" s="9" t="s">
        <v>592</v>
      </c>
      <c r="N57" s="9" t="s">
        <v>600</v>
      </c>
      <c r="O57" s="9" t="s">
        <v>146</v>
      </c>
      <c r="P57" s="9" t="s">
        <v>147</v>
      </c>
      <c r="Q57" s="9" t="s">
        <v>601</v>
      </c>
      <c r="R57" s="9" t="s">
        <v>59</v>
      </c>
      <c r="S57" s="9" t="s">
        <v>438</v>
      </c>
      <c r="T57" s="9"/>
      <c r="U57" s="12"/>
      <c r="V57" s="12"/>
      <c r="W57" s="12"/>
      <c r="X57" s="12" t="s">
        <v>150</v>
      </c>
      <c r="Y57" s="12"/>
      <c r="Z57" s="12"/>
    </row>
    <row r="58" spans="1:26" ht="90" customHeight="1" x14ac:dyDescent="0.25">
      <c r="A58" s="9" t="s">
        <v>602</v>
      </c>
      <c r="B58" s="9" t="s">
        <v>585</v>
      </c>
      <c r="C58" s="9" t="s">
        <v>104</v>
      </c>
      <c r="D58" s="9" t="s">
        <v>586</v>
      </c>
      <c r="E58" s="9" t="s">
        <v>452</v>
      </c>
      <c r="F58" s="9" t="s">
        <v>586</v>
      </c>
      <c r="G58" s="9" t="s">
        <v>603</v>
      </c>
      <c r="H58" s="9" t="s">
        <v>89</v>
      </c>
      <c r="I58" s="9" t="s">
        <v>588</v>
      </c>
      <c r="J58" s="9" t="s">
        <v>604</v>
      </c>
      <c r="K58" s="9" t="s">
        <v>590</v>
      </c>
      <c r="L58" s="9" t="s">
        <v>599</v>
      </c>
      <c r="M58" s="9" t="s">
        <v>592</v>
      </c>
      <c r="N58" s="9" t="s">
        <v>600</v>
      </c>
      <c r="O58" s="9"/>
      <c r="P58" s="9"/>
      <c r="Q58" s="9" t="s">
        <v>605</v>
      </c>
      <c r="R58" s="9" t="s">
        <v>150</v>
      </c>
      <c r="S58" s="9"/>
      <c r="T58" s="9"/>
      <c r="U58" s="12"/>
      <c r="V58" s="12"/>
      <c r="W58" s="12"/>
      <c r="X58" s="12" t="s">
        <v>150</v>
      </c>
      <c r="Y58" s="12"/>
      <c r="Z58" s="12"/>
    </row>
    <row r="59" spans="1:26" ht="90" customHeight="1" x14ac:dyDescent="0.25">
      <c r="A59" s="9" t="s">
        <v>606</v>
      </c>
      <c r="B59" s="9" t="s">
        <v>585</v>
      </c>
      <c r="C59" s="9" t="s">
        <v>104</v>
      </c>
      <c r="D59" s="9" t="s">
        <v>586</v>
      </c>
      <c r="E59" s="9" t="s">
        <v>452</v>
      </c>
      <c r="F59" s="9" t="s">
        <v>586</v>
      </c>
      <c r="G59" s="9" t="s">
        <v>607</v>
      </c>
      <c r="H59" s="9" t="s">
        <v>89</v>
      </c>
      <c r="I59" s="9" t="s">
        <v>588</v>
      </c>
      <c r="J59" s="9" t="s">
        <v>608</v>
      </c>
      <c r="K59" s="9" t="s">
        <v>590</v>
      </c>
      <c r="L59" s="9" t="s">
        <v>609</v>
      </c>
      <c r="M59" s="9" t="s">
        <v>592</v>
      </c>
      <c r="N59" s="9" t="s">
        <v>600</v>
      </c>
      <c r="O59" s="9"/>
      <c r="P59" s="9"/>
      <c r="Q59" s="9" t="s">
        <v>605</v>
      </c>
      <c r="R59" s="9" t="s">
        <v>150</v>
      </c>
      <c r="S59" s="9"/>
      <c r="T59" s="9"/>
      <c r="U59" s="12"/>
      <c r="V59" s="12"/>
      <c r="W59" s="12"/>
      <c r="X59" s="12" t="s">
        <v>150</v>
      </c>
      <c r="Y59" s="12"/>
      <c r="Z59" s="12"/>
    </row>
    <row r="60" spans="1:26" ht="90" customHeight="1" x14ac:dyDescent="0.25">
      <c r="A60" s="9" t="s">
        <v>610</v>
      </c>
      <c r="B60" s="9" t="s">
        <v>585</v>
      </c>
      <c r="C60" s="9" t="s">
        <v>104</v>
      </c>
      <c r="D60" s="9" t="s">
        <v>586</v>
      </c>
      <c r="E60" s="9" t="s">
        <v>452</v>
      </c>
      <c r="F60" s="9" t="s">
        <v>586</v>
      </c>
      <c r="G60" s="9" t="s">
        <v>611</v>
      </c>
      <c r="H60" s="9" t="s">
        <v>89</v>
      </c>
      <c r="I60" s="9" t="s">
        <v>588</v>
      </c>
      <c r="J60" s="9" t="s">
        <v>612</v>
      </c>
      <c r="K60" s="9" t="s">
        <v>590</v>
      </c>
      <c r="L60" s="9" t="s">
        <v>599</v>
      </c>
      <c r="M60" s="9" t="s">
        <v>592</v>
      </c>
      <c r="N60" s="9" t="s">
        <v>600</v>
      </c>
      <c r="O60" s="9"/>
      <c r="P60" s="9"/>
      <c r="Q60" s="9" t="s">
        <v>605</v>
      </c>
      <c r="R60" s="9" t="s">
        <v>150</v>
      </c>
      <c r="S60" s="9"/>
      <c r="T60" s="9"/>
      <c r="U60" s="12"/>
      <c r="V60" s="12"/>
      <c r="W60" s="12"/>
      <c r="X60" s="12" t="s">
        <v>150</v>
      </c>
      <c r="Y60" s="12"/>
      <c r="Z60" s="12"/>
    </row>
    <row r="61" spans="1:26" ht="90" customHeight="1" x14ac:dyDescent="0.25">
      <c r="A61" s="9" t="s">
        <v>613</v>
      </c>
      <c r="B61" s="9" t="s">
        <v>585</v>
      </c>
      <c r="C61" s="9" t="s">
        <v>104</v>
      </c>
      <c r="D61" s="9" t="s">
        <v>586</v>
      </c>
      <c r="E61" s="9" t="s">
        <v>452</v>
      </c>
      <c r="F61" s="9" t="s">
        <v>586</v>
      </c>
      <c r="G61" s="9" t="s">
        <v>614</v>
      </c>
      <c r="H61" s="9" t="s">
        <v>89</v>
      </c>
      <c r="I61" s="9" t="s">
        <v>588</v>
      </c>
      <c r="J61" s="9" t="s">
        <v>615</v>
      </c>
      <c r="K61" s="9" t="s">
        <v>590</v>
      </c>
      <c r="L61" s="9" t="s">
        <v>599</v>
      </c>
      <c r="M61" s="9" t="s">
        <v>592</v>
      </c>
      <c r="N61" s="9" t="s">
        <v>600</v>
      </c>
      <c r="O61" s="9"/>
      <c r="P61" s="9"/>
      <c r="Q61" s="9" t="s">
        <v>605</v>
      </c>
      <c r="R61" s="9" t="s">
        <v>150</v>
      </c>
      <c r="S61" s="9"/>
      <c r="T61" s="9"/>
      <c r="U61" s="12"/>
      <c r="V61" s="12"/>
      <c r="W61" s="12"/>
      <c r="X61" s="12" t="s">
        <v>150</v>
      </c>
      <c r="Y61" s="12"/>
      <c r="Z61" s="12"/>
    </row>
    <row r="62" spans="1:26" ht="90" customHeight="1" x14ac:dyDescent="0.25">
      <c r="A62" s="9" t="s">
        <v>616</v>
      </c>
      <c r="B62" s="9" t="s">
        <v>27</v>
      </c>
      <c r="C62" s="9" t="s">
        <v>104</v>
      </c>
      <c r="D62" s="9" t="s">
        <v>617</v>
      </c>
      <c r="E62" s="9" t="s">
        <v>452</v>
      </c>
      <c r="F62" s="9" t="s">
        <v>617</v>
      </c>
      <c r="G62" s="9" t="s">
        <v>618</v>
      </c>
      <c r="H62" s="9" t="s">
        <v>89</v>
      </c>
      <c r="I62" s="9" t="s">
        <v>588</v>
      </c>
      <c r="J62" s="9" t="s">
        <v>619</v>
      </c>
      <c r="K62" s="9" t="s">
        <v>501</v>
      </c>
      <c r="L62" s="9" t="s">
        <v>620</v>
      </c>
      <c r="M62" s="9" t="s">
        <v>621</v>
      </c>
      <c r="N62" s="9" t="s">
        <v>622</v>
      </c>
      <c r="O62" s="9" t="s">
        <v>146</v>
      </c>
      <c r="P62" s="9" t="s">
        <v>147</v>
      </c>
      <c r="Q62" s="9" t="s">
        <v>623</v>
      </c>
      <c r="R62" s="9" t="s">
        <v>59</v>
      </c>
      <c r="S62" s="9" t="s">
        <v>624</v>
      </c>
      <c r="T62" s="9"/>
      <c r="U62" s="12"/>
      <c r="V62" s="12"/>
      <c r="W62" s="12"/>
      <c r="X62" s="12" t="s">
        <v>150</v>
      </c>
      <c r="Y62" s="12"/>
      <c r="Z62" s="12"/>
    </row>
    <row r="63" spans="1:26" ht="90" customHeight="1" x14ac:dyDescent="0.25">
      <c r="A63" s="9" t="s">
        <v>625</v>
      </c>
      <c r="B63" s="9" t="s">
        <v>27</v>
      </c>
      <c r="C63" s="9" t="s">
        <v>104</v>
      </c>
      <c r="D63" s="9" t="s">
        <v>626</v>
      </c>
      <c r="E63" s="9" t="s">
        <v>452</v>
      </c>
      <c r="F63" s="9" t="s">
        <v>626</v>
      </c>
      <c r="G63" s="9" t="s">
        <v>627</v>
      </c>
      <c r="H63" s="9" t="s">
        <v>89</v>
      </c>
      <c r="I63" s="9" t="s">
        <v>588</v>
      </c>
      <c r="J63" s="9" t="s">
        <v>628</v>
      </c>
      <c r="K63" s="9" t="s">
        <v>501</v>
      </c>
      <c r="L63" s="9" t="s">
        <v>629</v>
      </c>
      <c r="M63" s="9" t="s">
        <v>621</v>
      </c>
      <c r="N63" s="9" t="s">
        <v>622</v>
      </c>
      <c r="O63" s="9"/>
      <c r="P63" s="9"/>
      <c r="Q63" s="9" t="s">
        <v>630</v>
      </c>
      <c r="R63" s="9" t="s">
        <v>150</v>
      </c>
      <c r="S63" s="9"/>
      <c r="T63" s="9"/>
      <c r="U63" s="12"/>
      <c r="V63" s="12"/>
      <c r="W63" s="12"/>
      <c r="X63" s="12" t="s">
        <v>150</v>
      </c>
      <c r="Y63" s="12"/>
      <c r="Z63" s="12"/>
    </row>
    <row r="64" spans="1:26" ht="90" customHeight="1" x14ac:dyDescent="0.25">
      <c r="A64" s="9" t="s">
        <v>631</v>
      </c>
      <c r="B64" s="9" t="s">
        <v>27</v>
      </c>
      <c r="C64" s="9" t="s">
        <v>104</v>
      </c>
      <c r="D64" s="9" t="s">
        <v>632</v>
      </c>
      <c r="E64" s="9" t="s">
        <v>452</v>
      </c>
      <c r="F64" s="9" t="s">
        <v>632</v>
      </c>
      <c r="G64" s="9" t="s">
        <v>633</v>
      </c>
      <c r="H64" s="9" t="s">
        <v>89</v>
      </c>
      <c r="I64" s="9" t="s">
        <v>588</v>
      </c>
      <c r="J64" s="9" t="s">
        <v>634</v>
      </c>
      <c r="K64" s="9" t="s">
        <v>501</v>
      </c>
      <c r="L64" s="9" t="s">
        <v>635</v>
      </c>
      <c r="M64" s="9" t="s">
        <v>621</v>
      </c>
      <c r="N64" s="9" t="s">
        <v>636</v>
      </c>
      <c r="O64" s="9"/>
      <c r="P64" s="9"/>
      <c r="Q64" s="9" t="s">
        <v>637</v>
      </c>
      <c r="R64" s="9" t="s">
        <v>150</v>
      </c>
      <c r="S64" s="9"/>
      <c r="T64" s="9"/>
      <c r="U64" s="12"/>
      <c r="V64" s="12"/>
      <c r="W64" s="12"/>
      <c r="X64" s="12" t="s">
        <v>150</v>
      </c>
      <c r="Y64" s="12"/>
      <c r="Z64" s="12"/>
    </row>
    <row r="65" spans="1:26" ht="90" customHeight="1" x14ac:dyDescent="0.25">
      <c r="A65" s="9" t="s">
        <v>638</v>
      </c>
      <c r="B65" s="9" t="s">
        <v>639</v>
      </c>
      <c r="C65" s="9" t="s">
        <v>104</v>
      </c>
      <c r="D65" s="9" t="s">
        <v>640</v>
      </c>
      <c r="E65" s="9" t="s">
        <v>452</v>
      </c>
      <c r="F65" s="9" t="s">
        <v>640</v>
      </c>
      <c r="G65" s="9" t="s">
        <v>641</v>
      </c>
      <c r="H65" s="9" t="s">
        <v>89</v>
      </c>
      <c r="I65" s="9" t="s">
        <v>588</v>
      </c>
      <c r="J65" s="9" t="s">
        <v>642</v>
      </c>
      <c r="K65" s="9" t="s">
        <v>501</v>
      </c>
      <c r="L65" s="9" t="s">
        <v>643</v>
      </c>
      <c r="M65" s="9" t="s">
        <v>621</v>
      </c>
      <c r="N65" s="9" t="s">
        <v>644</v>
      </c>
      <c r="O65" s="9" t="s">
        <v>244</v>
      </c>
      <c r="P65" s="9" t="s">
        <v>147</v>
      </c>
      <c r="Q65" s="9" t="s">
        <v>645</v>
      </c>
      <c r="R65" s="9" t="s">
        <v>59</v>
      </c>
      <c r="S65" s="9" t="s">
        <v>646</v>
      </c>
      <c r="T65" s="9"/>
      <c r="U65" s="12"/>
      <c r="V65" s="12"/>
      <c r="W65" s="12"/>
      <c r="X65" s="12" t="s">
        <v>150</v>
      </c>
      <c r="Y65" s="12"/>
      <c r="Z65" s="12"/>
    </row>
    <row r="66" spans="1:26" ht="90" customHeight="1" x14ac:dyDescent="0.25">
      <c r="A66" s="9" t="s">
        <v>647</v>
      </c>
      <c r="B66" s="9" t="s">
        <v>639</v>
      </c>
      <c r="C66" s="9" t="s">
        <v>104</v>
      </c>
      <c r="D66" s="9" t="s">
        <v>648</v>
      </c>
      <c r="E66" s="9" t="s">
        <v>452</v>
      </c>
      <c r="F66" s="9" t="s">
        <v>648</v>
      </c>
      <c r="G66" s="9" t="s">
        <v>649</v>
      </c>
      <c r="H66" s="9" t="s">
        <v>89</v>
      </c>
      <c r="I66" s="9" t="s">
        <v>588</v>
      </c>
      <c r="J66" s="9" t="s">
        <v>650</v>
      </c>
      <c r="K66" s="9" t="s">
        <v>501</v>
      </c>
      <c r="L66" s="9" t="s">
        <v>651</v>
      </c>
      <c r="M66" s="9" t="s">
        <v>621</v>
      </c>
      <c r="N66" s="9" t="s">
        <v>593</v>
      </c>
      <c r="O66" s="9" t="s">
        <v>146</v>
      </c>
      <c r="P66" s="9" t="s">
        <v>147</v>
      </c>
      <c r="Q66" s="9" t="s">
        <v>652</v>
      </c>
      <c r="R66" s="9" t="s">
        <v>59</v>
      </c>
      <c r="S66" s="9" t="s">
        <v>653</v>
      </c>
      <c r="T66" s="9"/>
      <c r="U66" s="12"/>
      <c r="V66" s="12"/>
      <c r="W66" s="12"/>
      <c r="X66" s="12" t="s">
        <v>150</v>
      </c>
      <c r="Y66" s="12"/>
      <c r="Z66" s="12"/>
    </row>
  </sheetData>
  <autoFilter ref="A4:Z66" xr:uid="{00000000-0009-0000-0000-000002000000}"/>
  <mergeCells count="2">
    <mergeCell ref="O3:T3"/>
    <mergeCell ref="U3:Z3"/>
  </mergeCells>
  <conditionalFormatting sqref="R5:R66">
    <cfRule type="cellIs" dxfId="45" priority="1" operator="equal">
      <formula>"PASS"</formula>
    </cfRule>
    <cfRule type="cellIs" dxfId="44" priority="2" operator="equal">
      <formula>"FAIL"</formula>
    </cfRule>
    <cfRule type="cellIs" dxfId="43" priority="3" operator="equal">
      <formula>"Bloqueado"</formula>
    </cfRule>
    <cfRule type="cellIs" dxfId="42" priority="4" operator="equal">
      <formula>"No ejecutado"</formula>
    </cfRule>
    <cfRule type="cellIs" dxfId="41" priority="5" operator="equal">
      <formula>"Cumple"</formula>
    </cfRule>
    <cfRule type="cellIs" dxfId="40" priority="6" operator="equal">
      <formula>"No cumple"</formula>
    </cfRule>
    <cfRule type="cellIs" dxfId="39" priority="7" operator="equal">
      <formula>"Parcial"</formula>
    </cfRule>
    <cfRule type="cellIs" dxfId="38" priority="8" operator="equal">
      <formula>"Pendiente"</formula>
    </cfRule>
  </conditionalFormatting>
  <conditionalFormatting sqref="X5:X66">
    <cfRule type="cellIs" dxfId="37" priority="9" operator="equal">
      <formula>"PASS"</formula>
    </cfRule>
    <cfRule type="cellIs" dxfId="36" priority="10" operator="equal">
      <formula>"FAIL"</formula>
    </cfRule>
    <cfRule type="cellIs" dxfId="35" priority="11" operator="equal">
      <formula>"Bloqueado"</formula>
    </cfRule>
    <cfRule type="cellIs" dxfId="34" priority="12" operator="equal">
      <formula>"No ejecutado"</formula>
    </cfRule>
    <cfRule type="cellIs" dxfId="33" priority="13" operator="equal">
      <formula>"Cumple"</formula>
    </cfRule>
    <cfRule type="cellIs" dxfId="32" priority="14" operator="equal">
      <formula>"No cumple"</formula>
    </cfRule>
    <cfRule type="cellIs" dxfId="31" priority="15" operator="equal">
      <formula>"Parcial"</formula>
    </cfRule>
    <cfRule type="cellIs" dxfId="30" priority="16" operator="equal">
      <formula>"Pendiente"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Listas!$A$2:$A$6</xm:f>
          </x14:formula1>
          <xm:sqref>R5:R66 X5:X66</xm:sqref>
        </x14:dataValidation>
        <x14:dataValidation type="list" allowBlank="1" xr:uid="{00000000-0002-0000-0200-000002000000}">
          <x14:formula1>
            <xm:f>Listas!$G$2:$G$4</xm:f>
          </x14:formula1>
          <xm:sqref>V5:V66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8" customWidth="1"/>
    <col min="4" max="4" width="10" customWidth="1"/>
    <col min="5" max="5" width="18" customWidth="1"/>
    <col min="6" max="6" width="16" customWidth="1"/>
    <col min="7" max="7" width="32" customWidth="1"/>
    <col min="8" max="8" width="40" customWidth="1"/>
    <col min="9" max="10" width="32" customWidth="1"/>
    <col min="11" max="11" width="10" customWidth="1"/>
    <col min="12" max="12" width="11" customWidth="1"/>
    <col min="13" max="13" width="30" customWidth="1"/>
    <col min="14" max="14" width="12" customWidth="1"/>
    <col min="15" max="15" width="18" customWidth="1"/>
    <col min="16" max="17" width="12" customWidth="1"/>
    <col min="18" max="18" width="30" customWidth="1"/>
  </cols>
  <sheetData>
    <row r="1" spans="1:18" ht="18" x14ac:dyDescent="0.25">
      <c r="A1" s="1" t="s">
        <v>654</v>
      </c>
    </row>
    <row r="2" spans="1:18" x14ac:dyDescent="0.25">
      <c r="A2" s="2" t="s">
        <v>655</v>
      </c>
    </row>
    <row r="4" spans="1:18" ht="25.5" x14ac:dyDescent="0.25">
      <c r="A4" s="8" t="s">
        <v>114</v>
      </c>
      <c r="B4" s="8" t="s">
        <v>656</v>
      </c>
      <c r="C4" s="8" t="s">
        <v>657</v>
      </c>
      <c r="D4" s="8" t="s">
        <v>120</v>
      </c>
      <c r="E4" s="8" t="s">
        <v>658</v>
      </c>
      <c r="F4" s="8" t="s">
        <v>659</v>
      </c>
      <c r="G4" s="8" t="s">
        <v>660</v>
      </c>
      <c r="H4" s="8" t="s">
        <v>661</v>
      </c>
      <c r="I4" s="8" t="s">
        <v>125</v>
      </c>
      <c r="J4" s="8" t="s">
        <v>130</v>
      </c>
      <c r="K4" s="8" t="s">
        <v>662</v>
      </c>
      <c r="L4" s="8" t="s">
        <v>121</v>
      </c>
      <c r="M4" s="8" t="s">
        <v>663</v>
      </c>
      <c r="N4" s="8" t="s">
        <v>131</v>
      </c>
      <c r="O4" s="8" t="s">
        <v>664</v>
      </c>
      <c r="P4" s="8" t="s">
        <v>665</v>
      </c>
      <c r="Q4" s="8" t="s">
        <v>666</v>
      </c>
      <c r="R4" s="8" t="s">
        <v>132</v>
      </c>
    </row>
    <row r="5" spans="1:18" ht="75" customHeight="1" x14ac:dyDescent="0.25">
      <c r="A5" s="9" t="s">
        <v>667</v>
      </c>
      <c r="B5" s="9" t="s">
        <v>146</v>
      </c>
      <c r="C5" s="9" t="s">
        <v>147</v>
      </c>
      <c r="D5" s="9" t="s">
        <v>448</v>
      </c>
      <c r="E5" s="9" t="s">
        <v>668</v>
      </c>
      <c r="F5" s="9" t="s">
        <v>669</v>
      </c>
      <c r="G5" s="9" t="s">
        <v>670</v>
      </c>
      <c r="H5" s="9" t="s">
        <v>671</v>
      </c>
      <c r="I5" s="9" t="s">
        <v>672</v>
      </c>
      <c r="J5" s="9" t="s">
        <v>673</v>
      </c>
      <c r="K5" s="9" t="s">
        <v>91</v>
      </c>
      <c r="L5" s="9" t="s">
        <v>674</v>
      </c>
      <c r="M5" s="9" t="s">
        <v>675</v>
      </c>
      <c r="N5" s="12" t="s">
        <v>676</v>
      </c>
      <c r="O5" s="12" t="s">
        <v>677</v>
      </c>
      <c r="P5" s="12"/>
      <c r="Q5" s="12"/>
      <c r="R5" s="9" t="s">
        <v>678</v>
      </c>
    </row>
    <row r="6" spans="1:18" ht="75" customHeight="1" x14ac:dyDescent="0.25">
      <c r="A6" s="9" t="s">
        <v>679</v>
      </c>
      <c r="B6" s="9" t="s">
        <v>146</v>
      </c>
      <c r="C6" s="9" t="s">
        <v>147</v>
      </c>
      <c r="D6" s="9" t="s">
        <v>161</v>
      </c>
      <c r="E6" s="9" t="s">
        <v>680</v>
      </c>
      <c r="F6" s="9" t="s">
        <v>669</v>
      </c>
      <c r="G6" s="9" t="s">
        <v>681</v>
      </c>
      <c r="H6" s="9" t="s">
        <v>682</v>
      </c>
      <c r="I6" s="9" t="s">
        <v>683</v>
      </c>
      <c r="J6" s="9" t="s">
        <v>684</v>
      </c>
      <c r="K6" s="9" t="s">
        <v>90</v>
      </c>
      <c r="L6" s="9" t="s">
        <v>685</v>
      </c>
      <c r="M6" s="9" t="s">
        <v>686</v>
      </c>
      <c r="N6" s="12" t="s">
        <v>676</v>
      </c>
      <c r="O6" s="12" t="s">
        <v>677</v>
      </c>
      <c r="P6" s="12"/>
      <c r="Q6" s="12"/>
      <c r="R6" s="9" t="s">
        <v>687</v>
      </c>
    </row>
    <row r="7" spans="1:18" ht="75" customHeight="1" x14ac:dyDescent="0.25">
      <c r="A7" s="9" t="s">
        <v>247</v>
      </c>
      <c r="B7" s="9" t="s">
        <v>146</v>
      </c>
      <c r="C7" s="9" t="s">
        <v>147</v>
      </c>
      <c r="D7" s="9" t="s">
        <v>237</v>
      </c>
      <c r="E7" s="9" t="s">
        <v>680</v>
      </c>
      <c r="F7" s="9" t="s">
        <v>688</v>
      </c>
      <c r="G7" s="9" t="s">
        <v>689</v>
      </c>
      <c r="H7" s="9" t="s">
        <v>690</v>
      </c>
      <c r="I7" s="9" t="s">
        <v>691</v>
      </c>
      <c r="J7" s="9" t="s">
        <v>692</v>
      </c>
      <c r="K7" s="9" t="s">
        <v>90</v>
      </c>
      <c r="L7" s="9" t="s">
        <v>685</v>
      </c>
      <c r="M7" s="9" t="s">
        <v>693</v>
      </c>
      <c r="N7" s="12" t="s">
        <v>694</v>
      </c>
      <c r="O7" s="12" t="s">
        <v>695</v>
      </c>
      <c r="P7" s="12" t="s">
        <v>244</v>
      </c>
      <c r="Q7" s="12"/>
      <c r="R7" s="9" t="s">
        <v>696</v>
      </c>
    </row>
    <row r="8" spans="1:18" ht="75" customHeight="1" x14ac:dyDescent="0.25">
      <c r="A8" s="9" t="s">
        <v>266</v>
      </c>
      <c r="B8" s="9" t="s">
        <v>146</v>
      </c>
      <c r="C8" s="9" t="s">
        <v>147</v>
      </c>
      <c r="D8" s="9" t="s">
        <v>697</v>
      </c>
      <c r="E8" s="9" t="s">
        <v>680</v>
      </c>
      <c r="F8" s="9" t="s">
        <v>688</v>
      </c>
      <c r="G8" s="9" t="s">
        <v>698</v>
      </c>
      <c r="H8" s="9" t="s">
        <v>699</v>
      </c>
      <c r="I8" s="9" t="s">
        <v>700</v>
      </c>
      <c r="J8" s="9" t="s">
        <v>701</v>
      </c>
      <c r="K8" s="9" t="s">
        <v>89</v>
      </c>
      <c r="L8" s="9" t="s">
        <v>702</v>
      </c>
      <c r="M8" s="9" t="s">
        <v>703</v>
      </c>
      <c r="N8" s="12" t="s">
        <v>694</v>
      </c>
      <c r="O8" s="12" t="s">
        <v>704</v>
      </c>
      <c r="P8" s="12" t="s">
        <v>244</v>
      </c>
      <c r="Q8" s="12"/>
      <c r="R8" s="9" t="s">
        <v>705</v>
      </c>
    </row>
    <row r="9" spans="1:18" ht="75" customHeight="1" x14ac:dyDescent="0.25">
      <c r="A9" s="9" t="s">
        <v>706</v>
      </c>
      <c r="B9" s="9" t="s">
        <v>146</v>
      </c>
      <c r="C9" s="9" t="s">
        <v>147</v>
      </c>
      <c r="D9" s="9" t="s">
        <v>337</v>
      </c>
      <c r="E9" s="9" t="s">
        <v>707</v>
      </c>
      <c r="F9" s="9" t="s">
        <v>669</v>
      </c>
      <c r="G9" s="9" t="s">
        <v>708</v>
      </c>
      <c r="H9" s="9" t="s">
        <v>709</v>
      </c>
      <c r="I9" s="9" t="s">
        <v>710</v>
      </c>
      <c r="J9" s="9" t="s">
        <v>711</v>
      </c>
      <c r="K9" s="9" t="s">
        <v>91</v>
      </c>
      <c r="L9" s="9" t="s">
        <v>712</v>
      </c>
      <c r="M9" s="9" t="s">
        <v>713</v>
      </c>
      <c r="N9" s="12" t="s">
        <v>676</v>
      </c>
      <c r="O9" s="12" t="s">
        <v>677</v>
      </c>
      <c r="P9" s="12"/>
      <c r="Q9" s="12"/>
      <c r="R9" s="9" t="s">
        <v>714</v>
      </c>
    </row>
    <row r="10" spans="1:18" ht="75" customHeight="1" x14ac:dyDescent="0.25">
      <c r="A10" s="9" t="s">
        <v>405</v>
      </c>
      <c r="B10" s="9" t="s">
        <v>146</v>
      </c>
      <c r="C10" s="9" t="s">
        <v>147</v>
      </c>
      <c r="D10" s="9" t="s">
        <v>397</v>
      </c>
      <c r="E10" s="9" t="s">
        <v>668</v>
      </c>
      <c r="F10" s="9" t="s">
        <v>715</v>
      </c>
      <c r="G10" s="9" t="s">
        <v>716</v>
      </c>
      <c r="H10" s="9" t="s">
        <v>717</v>
      </c>
      <c r="I10" s="9" t="s">
        <v>718</v>
      </c>
      <c r="J10" s="9" t="s">
        <v>719</v>
      </c>
      <c r="K10" s="9" t="s">
        <v>90</v>
      </c>
      <c r="L10" s="9" t="s">
        <v>685</v>
      </c>
      <c r="M10" s="9" t="s">
        <v>720</v>
      </c>
      <c r="N10" s="12" t="s">
        <v>694</v>
      </c>
      <c r="O10" s="12" t="s">
        <v>695</v>
      </c>
      <c r="P10" s="12" t="s">
        <v>244</v>
      </c>
      <c r="Q10" s="12"/>
      <c r="R10" s="9" t="s">
        <v>721</v>
      </c>
    </row>
    <row r="11" spans="1:1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</sheetData>
  <autoFilter ref="A4:R40" xr:uid="{00000000-0009-0000-0000-000003000000}"/>
  <conditionalFormatting sqref="K5:K40">
    <cfRule type="cellIs" dxfId="29" priority="1" operator="equal">
      <formula>"Crítica"</formula>
    </cfRule>
    <cfRule type="cellIs" dxfId="28" priority="2" operator="equal">
      <formula>"Alta"</formula>
    </cfRule>
    <cfRule type="cellIs" dxfId="27" priority="3" operator="equal">
      <formula>"Media"</formula>
    </cfRule>
    <cfRule type="cellIs" dxfId="26" priority="4" operator="equal">
      <formula>"Baja"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Listas!$B$2:$B$5</xm:f>
          </x14:formula1>
          <xm:sqref>K5:K40</xm:sqref>
        </x14:dataValidation>
        <x14:dataValidation type="list" allowBlank="1" xr:uid="{00000000-0002-0000-0300-000001000000}">
          <x14:formula1>
            <xm:f>Listas!$C$2:$C$5</xm:f>
          </x14:formula1>
          <xm:sqref>L5:L40</xm:sqref>
        </x14:dataValidation>
        <x14:dataValidation type="list" allowBlank="1" xr:uid="{00000000-0002-0000-0300-000002000000}">
          <x14:formula1>
            <xm:f>Listas!$D$2:$D$8</xm:f>
          </x14:formula1>
          <xm:sqref>N5:N40</xm:sqref>
        </x14:dataValidation>
        <x14:dataValidation type="list" allowBlank="1" xr:uid="{00000000-0002-0000-0300-000003000000}">
          <x14:formula1>
            <xm:f>Listas!$G$2:$G$4</xm:f>
          </x14:formula1>
          <xm:sqref>O5:O40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4" customWidth="1"/>
    <col min="2" max="2" width="42" customWidth="1"/>
    <col min="3" max="3" width="16" customWidth="1"/>
    <col min="4" max="4" width="18" customWidth="1"/>
    <col min="5" max="5" width="22" customWidth="1"/>
    <col min="6" max="10" width="10" customWidth="1"/>
    <col min="11" max="11" width="11" customWidth="1"/>
    <col min="12" max="12" width="16" customWidth="1"/>
    <col min="13" max="13" width="18" customWidth="1"/>
  </cols>
  <sheetData>
    <row r="1" spans="1:13" ht="18" x14ac:dyDescent="0.25">
      <c r="A1" s="1" t="s">
        <v>722</v>
      </c>
    </row>
    <row r="2" spans="1:13" x14ac:dyDescent="0.25">
      <c r="A2" s="2" t="s">
        <v>723</v>
      </c>
    </row>
    <row r="4" spans="1:13" ht="25.5" x14ac:dyDescent="0.25">
      <c r="A4" s="8" t="s">
        <v>724</v>
      </c>
      <c r="B4" s="8" t="s">
        <v>725</v>
      </c>
      <c r="C4" s="8" t="s">
        <v>726</v>
      </c>
      <c r="D4" s="8" t="s">
        <v>727</v>
      </c>
      <c r="E4" s="8" t="s">
        <v>94</v>
      </c>
      <c r="F4" s="8" t="s">
        <v>728</v>
      </c>
      <c r="G4" s="8" t="s">
        <v>95</v>
      </c>
      <c r="H4" s="8" t="s">
        <v>729</v>
      </c>
      <c r="I4" s="8" t="s">
        <v>96</v>
      </c>
      <c r="J4" s="8" t="s">
        <v>97</v>
      </c>
      <c r="K4" s="8" t="s">
        <v>730</v>
      </c>
      <c r="L4" s="8" t="s">
        <v>731</v>
      </c>
      <c r="M4" s="8" t="s">
        <v>732</v>
      </c>
    </row>
    <row r="5" spans="1:13" ht="25.5" x14ac:dyDescent="0.25">
      <c r="A5" s="9" t="s">
        <v>136</v>
      </c>
      <c r="B5" s="9" t="s">
        <v>733</v>
      </c>
      <c r="C5" s="9" t="s">
        <v>734</v>
      </c>
      <c r="D5" s="9" t="s">
        <v>735</v>
      </c>
      <c r="E5" s="9" t="s">
        <v>736</v>
      </c>
      <c r="F5" s="9">
        <f>COUNTIF('Casos de prueba'!$D$5:$D$66,A5)</f>
        <v>2</v>
      </c>
      <c r="G5" s="9">
        <f>COUNTIFS('Casos de prueba'!$D$5:$D$66,A5,'Casos de prueba'!$R$5:$R$66,"PASS")</f>
        <v>2</v>
      </c>
      <c r="H5" s="9">
        <f>COUNTIFS('Casos de prueba'!$D$5:$D$66,A5,'Casos de prueba'!$R$5:$R$66,"FAIL")</f>
        <v>0</v>
      </c>
      <c r="I5" s="9">
        <f>COUNTIFS('Casos de prueba'!$D$5:$D$66,A5,'Casos de prueba'!$X$5:$X$66,"PASS")</f>
        <v>0</v>
      </c>
      <c r="J5" s="9">
        <f>COUNTIFS('Casos de prueba'!$D$5:$D$66,A5,'Casos de prueba'!$X$5:$X$66,"FAIL")</f>
        <v>0</v>
      </c>
      <c r="K5" s="9">
        <f t="shared" ref="K5:K34" si="0">F5-I5-J5</f>
        <v>2</v>
      </c>
      <c r="L5" s="9" t="str">
        <f t="shared" ref="L5:L34" si="1">IF(F5=0,"Sin casos",IF(H5&gt;0,"Con fallas",IF(G5=F5,"Cubierto","Parcial")))</f>
        <v>Cubierto</v>
      </c>
      <c r="M5" s="9" t="str">
        <f t="shared" ref="M5:M34" si="2">IF(F5=0,"Sin casos",IF(J5&gt;0,"No cumple",IF(I5=F5,"Cumple","Pendiente")))</f>
        <v>Pendiente</v>
      </c>
    </row>
    <row r="6" spans="1:13" x14ac:dyDescent="0.25">
      <c r="A6" s="9" t="s">
        <v>162</v>
      </c>
      <c r="B6" s="9" t="s">
        <v>737</v>
      </c>
      <c r="C6" s="9" t="s">
        <v>738</v>
      </c>
      <c r="D6" s="9" t="s">
        <v>739</v>
      </c>
      <c r="E6" s="9" t="s">
        <v>740</v>
      </c>
      <c r="F6" s="9">
        <f>COUNTIF('Casos de prueba'!$D$5:$D$66,A6)</f>
        <v>2</v>
      </c>
      <c r="G6" s="9">
        <f>COUNTIFS('Casos de prueba'!$D$5:$D$66,A6,'Casos de prueba'!$R$5:$R$66,"PASS")</f>
        <v>1</v>
      </c>
      <c r="H6" s="9">
        <f>COUNTIFS('Casos de prueba'!$D$5:$D$66,A6,'Casos de prueba'!$R$5:$R$66,"FAIL")</f>
        <v>0</v>
      </c>
      <c r="I6" s="9">
        <f>COUNTIFS('Casos de prueba'!$D$5:$D$66,A6,'Casos de prueba'!$X$5:$X$66,"PASS")</f>
        <v>0</v>
      </c>
      <c r="J6" s="9">
        <f>COUNTIFS('Casos de prueba'!$D$5:$D$66,A6,'Casos de prueba'!$X$5:$X$66,"FAIL")</f>
        <v>0</v>
      </c>
      <c r="K6" s="9">
        <f t="shared" si="0"/>
        <v>2</v>
      </c>
      <c r="L6" s="9" t="str">
        <f t="shared" si="1"/>
        <v>Parcial</v>
      </c>
      <c r="M6" s="9" t="str">
        <f t="shared" si="2"/>
        <v>Pendiente</v>
      </c>
    </row>
    <row r="7" spans="1:13" x14ac:dyDescent="0.25">
      <c r="A7" s="9" t="s">
        <v>180</v>
      </c>
      <c r="B7" s="9" t="s">
        <v>741</v>
      </c>
      <c r="C7" s="9" t="s">
        <v>742</v>
      </c>
      <c r="D7" s="9" t="s">
        <v>743</v>
      </c>
      <c r="E7" s="9" t="s">
        <v>744</v>
      </c>
      <c r="F7" s="9">
        <f>COUNTIF('Casos de prueba'!$D$5:$D$66,A7)</f>
        <v>2</v>
      </c>
      <c r="G7" s="9">
        <f>COUNTIFS('Casos de prueba'!$D$5:$D$66,A7,'Casos de prueba'!$R$5:$R$66,"PASS")</f>
        <v>2</v>
      </c>
      <c r="H7" s="9">
        <f>COUNTIFS('Casos de prueba'!$D$5:$D$66,A7,'Casos de prueba'!$R$5:$R$66,"FAIL")</f>
        <v>0</v>
      </c>
      <c r="I7" s="9">
        <f>COUNTIFS('Casos de prueba'!$D$5:$D$66,A7,'Casos de prueba'!$X$5:$X$66,"PASS")</f>
        <v>0</v>
      </c>
      <c r="J7" s="9">
        <f>COUNTIFS('Casos de prueba'!$D$5:$D$66,A7,'Casos de prueba'!$X$5:$X$66,"FAIL")</f>
        <v>0</v>
      </c>
      <c r="K7" s="9">
        <f t="shared" si="0"/>
        <v>2</v>
      </c>
      <c r="L7" s="9" t="str">
        <f t="shared" si="1"/>
        <v>Cubierto</v>
      </c>
      <c r="M7" s="9" t="str">
        <f t="shared" si="2"/>
        <v>Pendiente</v>
      </c>
    </row>
    <row r="8" spans="1:13" x14ac:dyDescent="0.25">
      <c r="A8" s="9" t="s">
        <v>199</v>
      </c>
      <c r="B8" s="9" t="s">
        <v>745</v>
      </c>
      <c r="C8" s="9" t="s">
        <v>746</v>
      </c>
      <c r="D8" s="9" t="s">
        <v>747</v>
      </c>
      <c r="E8" s="9" t="s">
        <v>748</v>
      </c>
      <c r="F8" s="9">
        <f>COUNTIF('Casos de prueba'!$D$5:$D$66,A8)</f>
        <v>2</v>
      </c>
      <c r="G8" s="9">
        <f>COUNTIFS('Casos de prueba'!$D$5:$D$66,A8,'Casos de prueba'!$R$5:$R$66,"PASS")</f>
        <v>2</v>
      </c>
      <c r="H8" s="9">
        <f>COUNTIFS('Casos de prueba'!$D$5:$D$66,A8,'Casos de prueba'!$R$5:$R$66,"FAIL")</f>
        <v>0</v>
      </c>
      <c r="I8" s="9">
        <f>COUNTIFS('Casos de prueba'!$D$5:$D$66,A8,'Casos de prueba'!$X$5:$X$66,"PASS")</f>
        <v>0</v>
      </c>
      <c r="J8" s="9">
        <f>COUNTIFS('Casos de prueba'!$D$5:$D$66,A8,'Casos de prueba'!$X$5:$X$66,"FAIL")</f>
        <v>0</v>
      </c>
      <c r="K8" s="9">
        <f t="shared" si="0"/>
        <v>2</v>
      </c>
      <c r="L8" s="9" t="str">
        <f t="shared" si="1"/>
        <v>Cubierto</v>
      </c>
      <c r="M8" s="9" t="str">
        <f t="shared" si="2"/>
        <v>Pendiente</v>
      </c>
    </row>
    <row r="9" spans="1:13" x14ac:dyDescent="0.25">
      <c r="A9" s="9" t="s">
        <v>282</v>
      </c>
      <c r="B9" s="9" t="s">
        <v>749</v>
      </c>
      <c r="C9" s="9" t="s">
        <v>750</v>
      </c>
      <c r="D9" s="9" t="s">
        <v>751</v>
      </c>
      <c r="E9" s="9" t="s">
        <v>752</v>
      </c>
      <c r="F9" s="9">
        <f>COUNTIF('Casos de prueba'!$D$5:$D$66,A9)</f>
        <v>2</v>
      </c>
      <c r="G9" s="9">
        <f>COUNTIFS('Casos de prueba'!$D$5:$D$66,A9,'Casos de prueba'!$R$5:$R$66,"PASS")</f>
        <v>1</v>
      </c>
      <c r="H9" s="9">
        <f>COUNTIFS('Casos de prueba'!$D$5:$D$66,A9,'Casos de prueba'!$R$5:$R$66,"FAIL")</f>
        <v>0</v>
      </c>
      <c r="I9" s="9">
        <f>COUNTIFS('Casos de prueba'!$D$5:$D$66,A9,'Casos de prueba'!$X$5:$X$66,"PASS")</f>
        <v>0</v>
      </c>
      <c r="J9" s="9">
        <f>COUNTIFS('Casos de prueba'!$D$5:$D$66,A9,'Casos de prueba'!$X$5:$X$66,"FAIL")</f>
        <v>0</v>
      </c>
      <c r="K9" s="9">
        <f t="shared" si="0"/>
        <v>2</v>
      </c>
      <c r="L9" s="9" t="str">
        <f t="shared" si="1"/>
        <v>Parcial</v>
      </c>
      <c r="M9" s="9" t="str">
        <f t="shared" si="2"/>
        <v>Pendiente</v>
      </c>
    </row>
    <row r="10" spans="1:13" ht="25.5" x14ac:dyDescent="0.25">
      <c r="A10" s="9" t="s">
        <v>299</v>
      </c>
      <c r="B10" s="9" t="s">
        <v>753</v>
      </c>
      <c r="C10" s="9" t="s">
        <v>754</v>
      </c>
      <c r="D10" s="9" t="s">
        <v>755</v>
      </c>
      <c r="E10" s="9" t="s">
        <v>756</v>
      </c>
      <c r="F10" s="9">
        <f>COUNTIF('Casos de prueba'!$D$5:$D$66,A10)</f>
        <v>2</v>
      </c>
      <c r="G10" s="9">
        <f>COUNTIFS('Casos de prueba'!$D$5:$D$66,A10,'Casos de prueba'!$R$5:$R$66,"PASS")</f>
        <v>2</v>
      </c>
      <c r="H10" s="9">
        <f>COUNTIFS('Casos de prueba'!$D$5:$D$66,A10,'Casos de prueba'!$R$5:$R$66,"FAIL")</f>
        <v>0</v>
      </c>
      <c r="I10" s="9">
        <f>COUNTIFS('Casos de prueba'!$D$5:$D$66,A10,'Casos de prueba'!$X$5:$X$66,"PASS")</f>
        <v>0</v>
      </c>
      <c r="J10" s="9">
        <f>COUNTIFS('Casos de prueba'!$D$5:$D$66,A10,'Casos de prueba'!$X$5:$X$66,"FAIL")</f>
        <v>0</v>
      </c>
      <c r="K10" s="9">
        <f t="shared" si="0"/>
        <v>2</v>
      </c>
      <c r="L10" s="9" t="str">
        <f t="shared" si="1"/>
        <v>Cubierto</v>
      </c>
      <c r="M10" s="9" t="str">
        <f t="shared" si="2"/>
        <v>Pendiente</v>
      </c>
    </row>
    <row r="11" spans="1:13" ht="25.5" x14ac:dyDescent="0.25">
      <c r="A11" s="9" t="s">
        <v>318</v>
      </c>
      <c r="B11" s="9" t="s">
        <v>757</v>
      </c>
      <c r="C11" s="9" t="s">
        <v>758</v>
      </c>
      <c r="D11" s="9" t="s">
        <v>759</v>
      </c>
      <c r="E11" s="9" t="s">
        <v>760</v>
      </c>
      <c r="F11" s="9">
        <f>COUNTIF('Casos de prueba'!$D$5:$D$66,A11)</f>
        <v>2</v>
      </c>
      <c r="G11" s="9">
        <f>COUNTIFS('Casos de prueba'!$D$5:$D$66,A11,'Casos de prueba'!$R$5:$R$66,"PASS")</f>
        <v>2</v>
      </c>
      <c r="H11" s="9">
        <f>COUNTIFS('Casos de prueba'!$D$5:$D$66,A11,'Casos de prueba'!$R$5:$R$66,"FAIL")</f>
        <v>0</v>
      </c>
      <c r="I11" s="9">
        <f>COUNTIFS('Casos de prueba'!$D$5:$D$66,A11,'Casos de prueba'!$X$5:$X$66,"PASS")</f>
        <v>0</v>
      </c>
      <c r="J11" s="9">
        <f>COUNTIFS('Casos de prueba'!$D$5:$D$66,A11,'Casos de prueba'!$X$5:$X$66,"FAIL")</f>
        <v>0</v>
      </c>
      <c r="K11" s="9">
        <f t="shared" si="0"/>
        <v>2</v>
      </c>
      <c r="L11" s="9" t="str">
        <f t="shared" si="1"/>
        <v>Cubierto</v>
      </c>
      <c r="M11" s="9" t="str">
        <f t="shared" si="2"/>
        <v>Pendiente</v>
      </c>
    </row>
    <row r="12" spans="1:13" x14ac:dyDescent="0.25">
      <c r="A12" s="9" t="s">
        <v>338</v>
      </c>
      <c r="B12" s="9" t="s">
        <v>761</v>
      </c>
      <c r="C12" s="9" t="s">
        <v>762</v>
      </c>
      <c r="D12" s="9" t="s">
        <v>648</v>
      </c>
      <c r="E12" s="9" t="s">
        <v>763</v>
      </c>
      <c r="F12" s="9">
        <f>COUNTIF('Casos de prueba'!$D$5:$D$66,A12)</f>
        <v>2</v>
      </c>
      <c r="G12" s="9">
        <f>COUNTIFS('Casos de prueba'!$D$5:$D$66,A12,'Casos de prueba'!$R$5:$R$66,"PASS")</f>
        <v>2</v>
      </c>
      <c r="H12" s="9">
        <f>COUNTIFS('Casos de prueba'!$D$5:$D$66,A12,'Casos de prueba'!$R$5:$R$66,"FAIL")</f>
        <v>0</v>
      </c>
      <c r="I12" s="9">
        <f>COUNTIFS('Casos de prueba'!$D$5:$D$66,A12,'Casos de prueba'!$X$5:$X$66,"PASS")</f>
        <v>0</v>
      </c>
      <c r="J12" s="9">
        <f>COUNTIFS('Casos de prueba'!$D$5:$D$66,A12,'Casos de prueba'!$X$5:$X$66,"FAIL")</f>
        <v>0</v>
      </c>
      <c r="K12" s="9">
        <f t="shared" si="0"/>
        <v>2</v>
      </c>
      <c r="L12" s="9" t="str">
        <f t="shared" si="1"/>
        <v>Cubierto</v>
      </c>
      <c r="M12" s="9" t="str">
        <f t="shared" si="2"/>
        <v>Pendiente</v>
      </c>
    </row>
    <row r="13" spans="1:13" ht="25.5" x14ac:dyDescent="0.25">
      <c r="A13" s="9" t="s">
        <v>355</v>
      </c>
      <c r="B13" s="9" t="s">
        <v>764</v>
      </c>
      <c r="C13" s="9" t="s">
        <v>765</v>
      </c>
      <c r="D13" s="9" t="s">
        <v>766</v>
      </c>
      <c r="E13" s="9" t="s">
        <v>767</v>
      </c>
      <c r="F13" s="9">
        <f>COUNTIF('Casos de prueba'!$D$5:$D$66,A13)</f>
        <v>2</v>
      </c>
      <c r="G13" s="9">
        <f>COUNTIFS('Casos de prueba'!$D$5:$D$66,A13,'Casos de prueba'!$R$5:$R$66,"PASS")</f>
        <v>2</v>
      </c>
      <c r="H13" s="9">
        <f>COUNTIFS('Casos de prueba'!$D$5:$D$66,A13,'Casos de prueba'!$R$5:$R$66,"FAIL")</f>
        <v>0</v>
      </c>
      <c r="I13" s="9">
        <f>COUNTIFS('Casos de prueba'!$D$5:$D$66,A13,'Casos de prueba'!$X$5:$X$66,"PASS")</f>
        <v>0</v>
      </c>
      <c r="J13" s="9">
        <f>COUNTIFS('Casos de prueba'!$D$5:$D$66,A13,'Casos de prueba'!$X$5:$X$66,"FAIL")</f>
        <v>0</v>
      </c>
      <c r="K13" s="9">
        <f t="shared" si="0"/>
        <v>2</v>
      </c>
      <c r="L13" s="9" t="str">
        <f t="shared" si="1"/>
        <v>Cubierto</v>
      </c>
      <c r="M13" s="9" t="str">
        <f t="shared" si="2"/>
        <v>Pendiente</v>
      </c>
    </row>
    <row r="14" spans="1:13" x14ac:dyDescent="0.25">
      <c r="A14" s="9" t="s">
        <v>373</v>
      </c>
      <c r="B14" s="9" t="s">
        <v>768</v>
      </c>
      <c r="C14" s="9" t="s">
        <v>374</v>
      </c>
      <c r="D14" s="9"/>
      <c r="E14" s="9" t="s">
        <v>769</v>
      </c>
      <c r="F14" s="9">
        <f>COUNTIF('Casos de prueba'!$D$5:$D$66,A14)</f>
        <v>2</v>
      </c>
      <c r="G14" s="9">
        <f>COUNTIFS('Casos de prueba'!$D$5:$D$66,A14,'Casos de prueba'!$R$5:$R$66,"PASS")</f>
        <v>2</v>
      </c>
      <c r="H14" s="9">
        <f>COUNTIFS('Casos de prueba'!$D$5:$D$66,A14,'Casos de prueba'!$R$5:$R$66,"FAIL")</f>
        <v>0</v>
      </c>
      <c r="I14" s="9">
        <f>COUNTIFS('Casos de prueba'!$D$5:$D$66,A14,'Casos de prueba'!$X$5:$X$66,"PASS")</f>
        <v>0</v>
      </c>
      <c r="J14" s="9">
        <f>COUNTIFS('Casos de prueba'!$D$5:$D$66,A14,'Casos de prueba'!$X$5:$X$66,"FAIL")</f>
        <v>0</v>
      </c>
      <c r="K14" s="9">
        <f t="shared" si="0"/>
        <v>2</v>
      </c>
      <c r="L14" s="9" t="str">
        <f t="shared" si="1"/>
        <v>Cubierto</v>
      </c>
      <c r="M14" s="9" t="str">
        <f t="shared" si="2"/>
        <v>Pendiente</v>
      </c>
    </row>
    <row r="15" spans="1:13" ht="25.5" x14ac:dyDescent="0.25">
      <c r="A15" s="9" t="s">
        <v>389</v>
      </c>
      <c r="B15" s="9" t="s">
        <v>770</v>
      </c>
      <c r="C15" s="9" t="s">
        <v>771</v>
      </c>
      <c r="D15" s="9" t="s">
        <v>772</v>
      </c>
      <c r="E15" s="9" t="s">
        <v>773</v>
      </c>
      <c r="F15" s="9">
        <f>COUNTIF('Casos de prueba'!$D$5:$D$66,A15)</f>
        <v>2</v>
      </c>
      <c r="G15" s="9">
        <f>COUNTIFS('Casos de prueba'!$D$5:$D$66,A15,'Casos de prueba'!$R$5:$R$66,"PASS")</f>
        <v>2</v>
      </c>
      <c r="H15" s="9">
        <f>COUNTIFS('Casos de prueba'!$D$5:$D$66,A15,'Casos de prueba'!$R$5:$R$66,"FAIL")</f>
        <v>0</v>
      </c>
      <c r="I15" s="9">
        <f>COUNTIFS('Casos de prueba'!$D$5:$D$66,A15,'Casos de prueba'!$X$5:$X$66,"PASS")</f>
        <v>0</v>
      </c>
      <c r="J15" s="9">
        <f>COUNTIFS('Casos de prueba'!$D$5:$D$66,A15,'Casos de prueba'!$X$5:$X$66,"FAIL")</f>
        <v>0</v>
      </c>
      <c r="K15" s="9">
        <f t="shared" si="0"/>
        <v>2</v>
      </c>
      <c r="L15" s="9" t="str">
        <f t="shared" si="1"/>
        <v>Cubierto</v>
      </c>
      <c r="M15" s="9" t="str">
        <f t="shared" si="2"/>
        <v>Pendiente</v>
      </c>
    </row>
    <row r="16" spans="1:13" x14ac:dyDescent="0.25">
      <c r="A16" s="9" t="s">
        <v>407</v>
      </c>
      <c r="B16" s="9" t="s">
        <v>774</v>
      </c>
      <c r="C16" s="9" t="s">
        <v>775</v>
      </c>
      <c r="D16" s="9" t="s">
        <v>751</v>
      </c>
      <c r="E16" s="9" t="s">
        <v>776</v>
      </c>
      <c r="F16" s="9">
        <f>COUNTIF('Casos de prueba'!$D$5:$D$66,A16)</f>
        <v>2</v>
      </c>
      <c r="G16" s="9">
        <f>COUNTIFS('Casos de prueba'!$D$5:$D$66,A16,'Casos de prueba'!$R$5:$R$66,"PASS")</f>
        <v>1</v>
      </c>
      <c r="H16" s="9">
        <f>COUNTIFS('Casos de prueba'!$D$5:$D$66,A16,'Casos de prueba'!$R$5:$R$66,"FAIL")</f>
        <v>0</v>
      </c>
      <c r="I16" s="9">
        <f>COUNTIFS('Casos de prueba'!$D$5:$D$66,A16,'Casos de prueba'!$X$5:$X$66,"PASS")</f>
        <v>0</v>
      </c>
      <c r="J16" s="9">
        <f>COUNTIFS('Casos de prueba'!$D$5:$D$66,A16,'Casos de prueba'!$X$5:$X$66,"FAIL")</f>
        <v>0</v>
      </c>
      <c r="K16" s="9">
        <f t="shared" si="0"/>
        <v>2</v>
      </c>
      <c r="L16" s="9" t="str">
        <f t="shared" si="1"/>
        <v>Parcial</v>
      </c>
      <c r="M16" s="9" t="str">
        <f t="shared" si="2"/>
        <v>Pendiente</v>
      </c>
    </row>
    <row r="17" spans="1:13" ht="25.5" x14ac:dyDescent="0.25">
      <c r="A17" s="9" t="s">
        <v>423</v>
      </c>
      <c r="B17" s="9" t="s">
        <v>777</v>
      </c>
      <c r="C17" s="9" t="s">
        <v>778</v>
      </c>
      <c r="D17" s="9" t="s">
        <v>779</v>
      </c>
      <c r="E17" s="9" t="s">
        <v>780</v>
      </c>
      <c r="F17" s="9">
        <f>COUNTIF('Casos de prueba'!$D$5:$D$66,A17)</f>
        <v>2</v>
      </c>
      <c r="G17" s="9">
        <f>COUNTIFS('Casos de prueba'!$D$5:$D$66,A17,'Casos de prueba'!$R$5:$R$66,"PASS")</f>
        <v>2</v>
      </c>
      <c r="H17" s="9">
        <f>COUNTIFS('Casos de prueba'!$D$5:$D$66,A17,'Casos de prueba'!$R$5:$R$66,"FAIL")</f>
        <v>0</v>
      </c>
      <c r="I17" s="9">
        <f>COUNTIFS('Casos de prueba'!$D$5:$D$66,A17,'Casos de prueba'!$X$5:$X$66,"PASS")</f>
        <v>0</v>
      </c>
      <c r="J17" s="9">
        <f>COUNTIFS('Casos de prueba'!$D$5:$D$66,A17,'Casos de prueba'!$X$5:$X$66,"FAIL")</f>
        <v>0</v>
      </c>
      <c r="K17" s="9">
        <f t="shared" si="0"/>
        <v>2</v>
      </c>
      <c r="L17" s="9" t="str">
        <f t="shared" si="1"/>
        <v>Cubierto</v>
      </c>
      <c r="M17" s="9" t="str">
        <f t="shared" si="2"/>
        <v>Pendiente</v>
      </c>
    </row>
    <row r="18" spans="1:13" ht="25.5" x14ac:dyDescent="0.25">
      <c r="A18" s="9" t="s">
        <v>440</v>
      </c>
      <c r="B18" s="9" t="s">
        <v>781</v>
      </c>
      <c r="C18" s="9" t="s">
        <v>782</v>
      </c>
      <c r="D18" s="9" t="s">
        <v>783</v>
      </c>
      <c r="E18" s="9" t="s">
        <v>784</v>
      </c>
      <c r="F18" s="9">
        <f>COUNTIF('Casos de prueba'!$D$5:$D$66,A18)</f>
        <v>2</v>
      </c>
      <c r="G18" s="9">
        <f>COUNTIFS('Casos de prueba'!$D$5:$D$66,A18,'Casos de prueba'!$R$5:$R$66,"PASS")</f>
        <v>2</v>
      </c>
      <c r="H18" s="9">
        <f>COUNTIFS('Casos de prueba'!$D$5:$D$66,A18,'Casos de prueba'!$R$5:$R$66,"FAIL")</f>
        <v>0</v>
      </c>
      <c r="I18" s="9">
        <f>COUNTIFS('Casos de prueba'!$D$5:$D$66,A18,'Casos de prueba'!$X$5:$X$66,"PASS")</f>
        <v>0</v>
      </c>
      <c r="J18" s="9">
        <f>COUNTIFS('Casos de prueba'!$D$5:$D$66,A18,'Casos de prueba'!$X$5:$X$66,"FAIL")</f>
        <v>0</v>
      </c>
      <c r="K18" s="9">
        <f t="shared" si="0"/>
        <v>2</v>
      </c>
      <c r="L18" s="9" t="str">
        <f t="shared" si="1"/>
        <v>Cubierto</v>
      </c>
      <c r="M18" s="9" t="str">
        <f t="shared" si="2"/>
        <v>Pendiente</v>
      </c>
    </row>
    <row r="19" spans="1:13" x14ac:dyDescent="0.25">
      <c r="A19" s="9" t="s">
        <v>457</v>
      </c>
      <c r="B19" s="9" t="s">
        <v>785</v>
      </c>
      <c r="C19" s="9" t="s">
        <v>786</v>
      </c>
      <c r="D19" s="9" t="s">
        <v>772</v>
      </c>
      <c r="E19" s="9" t="s">
        <v>787</v>
      </c>
      <c r="F19" s="9">
        <f>COUNTIF('Casos de prueba'!$D$5:$D$66,A19)</f>
        <v>2</v>
      </c>
      <c r="G19" s="9">
        <f>COUNTIFS('Casos de prueba'!$D$5:$D$66,A19,'Casos de prueba'!$R$5:$R$66,"PASS")</f>
        <v>2</v>
      </c>
      <c r="H19" s="9">
        <f>COUNTIFS('Casos de prueba'!$D$5:$D$66,A19,'Casos de prueba'!$R$5:$R$66,"FAIL")</f>
        <v>0</v>
      </c>
      <c r="I19" s="9">
        <f>COUNTIFS('Casos de prueba'!$D$5:$D$66,A19,'Casos de prueba'!$X$5:$X$66,"PASS")</f>
        <v>0</v>
      </c>
      <c r="J19" s="9">
        <f>COUNTIFS('Casos de prueba'!$D$5:$D$66,A19,'Casos de prueba'!$X$5:$X$66,"FAIL")</f>
        <v>0</v>
      </c>
      <c r="K19" s="9">
        <f t="shared" si="0"/>
        <v>2</v>
      </c>
      <c r="L19" s="9" t="str">
        <f t="shared" si="1"/>
        <v>Cubierto</v>
      </c>
      <c r="M19" s="9" t="str">
        <f t="shared" si="2"/>
        <v>Pendiente</v>
      </c>
    </row>
    <row r="20" spans="1:13" x14ac:dyDescent="0.25">
      <c r="A20" s="9" t="s">
        <v>474</v>
      </c>
      <c r="B20" s="9" t="s">
        <v>788</v>
      </c>
      <c r="C20" s="9" t="s">
        <v>789</v>
      </c>
      <c r="D20" s="9" t="s">
        <v>790</v>
      </c>
      <c r="E20" s="9" t="s">
        <v>791</v>
      </c>
      <c r="F20" s="9">
        <f>COUNTIF('Casos de prueba'!$D$5:$D$66,A20)</f>
        <v>2</v>
      </c>
      <c r="G20" s="9">
        <f>COUNTIFS('Casos de prueba'!$D$5:$D$66,A20,'Casos de prueba'!$R$5:$R$66,"PASS")</f>
        <v>2</v>
      </c>
      <c r="H20" s="9">
        <f>COUNTIFS('Casos de prueba'!$D$5:$D$66,A20,'Casos de prueba'!$R$5:$R$66,"FAIL")</f>
        <v>0</v>
      </c>
      <c r="I20" s="9">
        <f>COUNTIFS('Casos de prueba'!$D$5:$D$66,A20,'Casos de prueba'!$X$5:$X$66,"PASS")</f>
        <v>0</v>
      </c>
      <c r="J20" s="9">
        <f>COUNTIFS('Casos de prueba'!$D$5:$D$66,A20,'Casos de prueba'!$X$5:$X$66,"FAIL")</f>
        <v>0</v>
      </c>
      <c r="K20" s="9">
        <f t="shared" si="0"/>
        <v>2</v>
      </c>
      <c r="L20" s="9" t="str">
        <f t="shared" si="1"/>
        <v>Cubierto</v>
      </c>
      <c r="M20" s="9" t="str">
        <f t="shared" si="2"/>
        <v>Pendiente</v>
      </c>
    </row>
    <row r="21" spans="1:13" x14ac:dyDescent="0.25">
      <c r="A21" s="9" t="s">
        <v>489</v>
      </c>
      <c r="B21" s="9" t="s">
        <v>792</v>
      </c>
      <c r="C21" s="9" t="s">
        <v>490</v>
      </c>
      <c r="D21" s="9"/>
      <c r="E21" s="9" t="s">
        <v>793</v>
      </c>
      <c r="F21" s="9">
        <f>COUNTIF('Casos de prueba'!$D$5:$D$66,A21)</f>
        <v>2</v>
      </c>
      <c r="G21" s="9">
        <f>COUNTIFS('Casos de prueba'!$D$5:$D$66,A21,'Casos de prueba'!$R$5:$R$66,"PASS")</f>
        <v>2</v>
      </c>
      <c r="H21" s="9">
        <f>COUNTIFS('Casos de prueba'!$D$5:$D$66,A21,'Casos de prueba'!$R$5:$R$66,"FAIL")</f>
        <v>0</v>
      </c>
      <c r="I21" s="9">
        <f>COUNTIFS('Casos de prueba'!$D$5:$D$66,A21,'Casos de prueba'!$X$5:$X$66,"PASS")</f>
        <v>0</v>
      </c>
      <c r="J21" s="9">
        <f>COUNTIFS('Casos de prueba'!$D$5:$D$66,A21,'Casos de prueba'!$X$5:$X$66,"FAIL")</f>
        <v>0</v>
      </c>
      <c r="K21" s="9">
        <f t="shared" si="0"/>
        <v>2</v>
      </c>
      <c r="L21" s="9" t="str">
        <f t="shared" si="1"/>
        <v>Cubierto</v>
      </c>
      <c r="M21" s="9" t="str">
        <f t="shared" si="2"/>
        <v>Pendiente</v>
      </c>
    </row>
    <row r="22" spans="1:13" x14ac:dyDescent="0.25">
      <c r="A22" s="9" t="s">
        <v>506</v>
      </c>
      <c r="B22" s="9" t="s">
        <v>794</v>
      </c>
      <c r="C22" s="9" t="s">
        <v>795</v>
      </c>
      <c r="D22" s="9" t="s">
        <v>796</v>
      </c>
      <c r="E22" s="9" t="s">
        <v>797</v>
      </c>
      <c r="F22" s="9">
        <f>COUNTIF('Casos de prueba'!$D$5:$D$66,A22)</f>
        <v>2</v>
      </c>
      <c r="G22" s="9">
        <f>COUNTIFS('Casos de prueba'!$D$5:$D$66,A22,'Casos de prueba'!$R$5:$R$66,"PASS")</f>
        <v>1</v>
      </c>
      <c r="H22" s="9">
        <f>COUNTIFS('Casos de prueba'!$D$5:$D$66,A22,'Casos de prueba'!$R$5:$R$66,"FAIL")</f>
        <v>0</v>
      </c>
      <c r="I22" s="9">
        <f>COUNTIFS('Casos de prueba'!$D$5:$D$66,A22,'Casos de prueba'!$X$5:$X$66,"PASS")</f>
        <v>0</v>
      </c>
      <c r="J22" s="9">
        <f>COUNTIFS('Casos de prueba'!$D$5:$D$66,A22,'Casos de prueba'!$X$5:$X$66,"FAIL")</f>
        <v>0</v>
      </c>
      <c r="K22" s="9">
        <f t="shared" si="0"/>
        <v>2</v>
      </c>
      <c r="L22" s="9" t="str">
        <f t="shared" si="1"/>
        <v>Parcial</v>
      </c>
      <c r="M22" s="9" t="str">
        <f t="shared" si="2"/>
        <v>Pendiente</v>
      </c>
    </row>
    <row r="23" spans="1:13" x14ac:dyDescent="0.25">
      <c r="A23" s="9" t="s">
        <v>523</v>
      </c>
      <c r="B23" s="9" t="s">
        <v>798</v>
      </c>
      <c r="C23" s="9" t="s">
        <v>799</v>
      </c>
      <c r="D23" s="9" t="s">
        <v>800</v>
      </c>
      <c r="E23" s="9" t="s">
        <v>801</v>
      </c>
      <c r="F23" s="9">
        <f>COUNTIF('Casos de prueba'!$D$5:$D$66,A23)</f>
        <v>2</v>
      </c>
      <c r="G23" s="9">
        <f>COUNTIFS('Casos de prueba'!$D$5:$D$66,A23,'Casos de prueba'!$R$5:$R$66,"PASS")</f>
        <v>2</v>
      </c>
      <c r="H23" s="9">
        <f>COUNTIFS('Casos de prueba'!$D$5:$D$66,A23,'Casos de prueba'!$R$5:$R$66,"FAIL")</f>
        <v>0</v>
      </c>
      <c r="I23" s="9">
        <f>COUNTIFS('Casos de prueba'!$D$5:$D$66,A23,'Casos de prueba'!$X$5:$X$66,"PASS")</f>
        <v>0</v>
      </c>
      <c r="J23" s="9">
        <f>COUNTIFS('Casos de prueba'!$D$5:$D$66,A23,'Casos de prueba'!$X$5:$X$66,"FAIL")</f>
        <v>0</v>
      </c>
      <c r="K23" s="9">
        <f t="shared" si="0"/>
        <v>2</v>
      </c>
      <c r="L23" s="9" t="str">
        <f t="shared" si="1"/>
        <v>Cubierto</v>
      </c>
      <c r="M23" s="9" t="str">
        <f t="shared" si="2"/>
        <v>Pendiente</v>
      </c>
    </row>
    <row r="24" spans="1:13" x14ac:dyDescent="0.25">
      <c r="A24" s="9" t="s">
        <v>537</v>
      </c>
      <c r="B24" s="9" t="s">
        <v>802</v>
      </c>
      <c r="C24" s="9" t="s">
        <v>803</v>
      </c>
      <c r="D24" s="9" t="s">
        <v>790</v>
      </c>
      <c r="E24" s="9" t="s">
        <v>804</v>
      </c>
      <c r="F24" s="9">
        <f>COUNTIF('Casos de prueba'!$D$5:$D$66,A24)</f>
        <v>2</v>
      </c>
      <c r="G24" s="9">
        <f>COUNTIFS('Casos de prueba'!$D$5:$D$66,A24,'Casos de prueba'!$R$5:$R$66,"PASS")</f>
        <v>2</v>
      </c>
      <c r="H24" s="9">
        <f>COUNTIFS('Casos de prueba'!$D$5:$D$66,A24,'Casos de prueba'!$R$5:$R$66,"FAIL")</f>
        <v>0</v>
      </c>
      <c r="I24" s="9">
        <f>COUNTIFS('Casos de prueba'!$D$5:$D$66,A24,'Casos de prueba'!$X$5:$X$66,"PASS")</f>
        <v>0</v>
      </c>
      <c r="J24" s="9">
        <f>COUNTIFS('Casos de prueba'!$D$5:$D$66,A24,'Casos de prueba'!$X$5:$X$66,"FAIL")</f>
        <v>0</v>
      </c>
      <c r="K24" s="9">
        <f t="shared" si="0"/>
        <v>2</v>
      </c>
      <c r="L24" s="9" t="str">
        <f t="shared" si="1"/>
        <v>Cubierto</v>
      </c>
      <c r="M24" s="9" t="str">
        <f t="shared" si="2"/>
        <v>Pendiente</v>
      </c>
    </row>
    <row r="25" spans="1:13" ht="25.5" x14ac:dyDescent="0.25">
      <c r="A25" s="9" t="s">
        <v>565</v>
      </c>
      <c r="B25" s="9" t="s">
        <v>805</v>
      </c>
      <c r="C25" s="9"/>
      <c r="D25" s="9" t="s">
        <v>566</v>
      </c>
      <c r="E25" s="9" t="s">
        <v>806</v>
      </c>
      <c r="F25" s="9">
        <f>COUNTIF('Casos de prueba'!$D$5:$D$66,A25)</f>
        <v>2</v>
      </c>
      <c r="G25" s="9">
        <f>COUNTIFS('Casos de prueba'!$D$5:$D$66,A25,'Casos de prueba'!$R$5:$R$66,"PASS")</f>
        <v>2</v>
      </c>
      <c r="H25" s="9">
        <f>COUNTIFS('Casos de prueba'!$D$5:$D$66,A25,'Casos de prueba'!$R$5:$R$66,"FAIL")</f>
        <v>0</v>
      </c>
      <c r="I25" s="9">
        <f>COUNTIFS('Casos de prueba'!$D$5:$D$66,A25,'Casos de prueba'!$X$5:$X$66,"PASS")</f>
        <v>0</v>
      </c>
      <c r="J25" s="9">
        <f>COUNTIFS('Casos de prueba'!$D$5:$D$66,A25,'Casos de prueba'!$X$5:$X$66,"FAIL")</f>
        <v>0</v>
      </c>
      <c r="K25" s="9">
        <f t="shared" si="0"/>
        <v>2</v>
      </c>
      <c r="L25" s="9" t="str">
        <f t="shared" si="1"/>
        <v>Cubierto</v>
      </c>
      <c r="M25" s="9" t="str">
        <f t="shared" si="2"/>
        <v>Pendiente</v>
      </c>
    </row>
    <row r="26" spans="1:13" ht="25.5" x14ac:dyDescent="0.25">
      <c r="A26" s="9" t="s">
        <v>218</v>
      </c>
      <c r="B26" s="9" t="s">
        <v>807</v>
      </c>
      <c r="C26" s="9" t="s">
        <v>808</v>
      </c>
      <c r="D26" s="9" t="s">
        <v>809</v>
      </c>
      <c r="E26" s="9" t="s">
        <v>810</v>
      </c>
      <c r="F26" s="9">
        <f>COUNTIF('Casos de prueba'!$D$5:$D$66,A26)</f>
        <v>4</v>
      </c>
      <c r="G26" s="9">
        <f>COUNTIFS('Casos de prueba'!$D$5:$D$66,A26,'Casos de prueba'!$R$5:$R$66,"PASS")</f>
        <v>4</v>
      </c>
      <c r="H26" s="9">
        <f>COUNTIFS('Casos de prueba'!$D$5:$D$66,A26,'Casos de prueba'!$R$5:$R$66,"FAIL")</f>
        <v>0</v>
      </c>
      <c r="I26" s="9">
        <f>COUNTIFS('Casos de prueba'!$D$5:$D$66,A26,'Casos de prueba'!$X$5:$X$66,"PASS")</f>
        <v>0</v>
      </c>
      <c r="J26" s="9">
        <f>COUNTIFS('Casos de prueba'!$D$5:$D$66,A26,'Casos de prueba'!$X$5:$X$66,"FAIL")</f>
        <v>0</v>
      </c>
      <c r="K26" s="9">
        <f t="shared" si="0"/>
        <v>4</v>
      </c>
      <c r="L26" s="9" t="str">
        <f t="shared" si="1"/>
        <v>Cubierto</v>
      </c>
      <c r="M26" s="9" t="str">
        <f t="shared" si="2"/>
        <v>Pendiente</v>
      </c>
    </row>
    <row r="27" spans="1:13" ht="25.5" x14ac:dyDescent="0.25">
      <c r="A27" s="9" t="s">
        <v>257</v>
      </c>
      <c r="B27" s="9" t="s">
        <v>811</v>
      </c>
      <c r="C27" s="9" t="s">
        <v>812</v>
      </c>
      <c r="D27" s="9" t="s">
        <v>813</v>
      </c>
      <c r="E27" s="9" t="s">
        <v>814</v>
      </c>
      <c r="F27" s="9">
        <f>COUNTIF('Casos de prueba'!$D$5:$D$66,A27)</f>
        <v>3</v>
      </c>
      <c r="G27" s="9">
        <f>COUNTIFS('Casos de prueba'!$D$5:$D$66,A27,'Casos de prueba'!$R$5:$R$66,"PASS")</f>
        <v>3</v>
      </c>
      <c r="H27" s="9">
        <f>COUNTIFS('Casos de prueba'!$D$5:$D$66,A27,'Casos de prueba'!$R$5:$R$66,"FAIL")</f>
        <v>0</v>
      </c>
      <c r="I27" s="9">
        <f>COUNTIFS('Casos de prueba'!$D$5:$D$66,A27,'Casos de prueba'!$X$5:$X$66,"PASS")</f>
        <v>0</v>
      </c>
      <c r="J27" s="9">
        <f>COUNTIFS('Casos de prueba'!$D$5:$D$66,A27,'Casos de prueba'!$X$5:$X$66,"FAIL")</f>
        <v>0</v>
      </c>
      <c r="K27" s="9">
        <f t="shared" si="0"/>
        <v>3</v>
      </c>
      <c r="L27" s="9" t="str">
        <f t="shared" si="1"/>
        <v>Cubierto</v>
      </c>
      <c r="M27" s="9" t="str">
        <f t="shared" si="2"/>
        <v>Pendiente</v>
      </c>
    </row>
    <row r="28" spans="1:13" x14ac:dyDescent="0.25">
      <c r="A28" s="9" t="s">
        <v>552</v>
      </c>
      <c r="B28" s="9" t="s">
        <v>815</v>
      </c>
      <c r="C28" s="9" t="s">
        <v>795</v>
      </c>
      <c r="D28" s="9" t="s">
        <v>796</v>
      </c>
      <c r="E28" s="9" t="s">
        <v>816</v>
      </c>
      <c r="F28" s="9">
        <f>COUNTIF('Casos de prueba'!$D$5:$D$66,A28)</f>
        <v>2</v>
      </c>
      <c r="G28" s="9">
        <f>COUNTIFS('Casos de prueba'!$D$5:$D$66,A28,'Casos de prueba'!$R$5:$R$66,"PASS")</f>
        <v>0</v>
      </c>
      <c r="H28" s="9">
        <f>COUNTIFS('Casos de prueba'!$D$5:$D$66,A28,'Casos de prueba'!$R$5:$R$66,"FAIL")</f>
        <v>0</v>
      </c>
      <c r="I28" s="9">
        <f>COUNTIFS('Casos de prueba'!$D$5:$D$66,A28,'Casos de prueba'!$X$5:$X$66,"PASS")</f>
        <v>0</v>
      </c>
      <c r="J28" s="9">
        <f>COUNTIFS('Casos de prueba'!$D$5:$D$66,A28,'Casos de prueba'!$X$5:$X$66,"FAIL")</f>
        <v>0</v>
      </c>
      <c r="K28" s="9">
        <f t="shared" si="0"/>
        <v>2</v>
      </c>
      <c r="L28" s="9" t="str">
        <f t="shared" si="1"/>
        <v>Parcial</v>
      </c>
      <c r="M28" s="9" t="str">
        <f t="shared" si="2"/>
        <v>Pendiente</v>
      </c>
    </row>
    <row r="29" spans="1:13" ht="25.5" x14ac:dyDescent="0.25">
      <c r="A29" s="9" t="s">
        <v>586</v>
      </c>
      <c r="B29" s="9" t="s">
        <v>817</v>
      </c>
      <c r="C29" s="9"/>
      <c r="D29" s="9" t="s">
        <v>586</v>
      </c>
      <c r="E29" s="9" t="s">
        <v>818</v>
      </c>
      <c r="F29" s="9">
        <f>COUNTIF('Casos de prueba'!$D$5:$D$66,A29)</f>
        <v>6</v>
      </c>
      <c r="G29" s="9">
        <f>COUNTIFS('Casos de prueba'!$D$5:$D$66,A29,'Casos de prueba'!$R$5:$R$66,"PASS")</f>
        <v>2</v>
      </c>
      <c r="H29" s="9">
        <f>COUNTIFS('Casos de prueba'!$D$5:$D$66,A29,'Casos de prueba'!$R$5:$R$66,"FAIL")</f>
        <v>0</v>
      </c>
      <c r="I29" s="9">
        <f>COUNTIFS('Casos de prueba'!$D$5:$D$66,A29,'Casos de prueba'!$X$5:$X$66,"PASS")</f>
        <v>0</v>
      </c>
      <c r="J29" s="9">
        <f>COUNTIFS('Casos de prueba'!$D$5:$D$66,A29,'Casos de prueba'!$X$5:$X$66,"FAIL")</f>
        <v>0</v>
      </c>
      <c r="K29" s="9">
        <f t="shared" si="0"/>
        <v>6</v>
      </c>
      <c r="L29" s="9" t="str">
        <f t="shared" si="1"/>
        <v>Parcial</v>
      </c>
      <c r="M29" s="9" t="str">
        <f t="shared" si="2"/>
        <v>Pendiente</v>
      </c>
    </row>
    <row r="30" spans="1:13" x14ac:dyDescent="0.25">
      <c r="A30" s="9" t="s">
        <v>617</v>
      </c>
      <c r="B30" s="9" t="s">
        <v>819</v>
      </c>
      <c r="C30" s="9"/>
      <c r="D30" s="9" t="s">
        <v>617</v>
      </c>
      <c r="E30" s="9" t="s">
        <v>616</v>
      </c>
      <c r="F30" s="9">
        <f>COUNTIF('Casos de prueba'!$D$5:$D$66,A30)</f>
        <v>1</v>
      </c>
      <c r="G30" s="9">
        <f>COUNTIFS('Casos de prueba'!$D$5:$D$66,A30,'Casos de prueba'!$R$5:$R$66,"PASS")</f>
        <v>1</v>
      </c>
      <c r="H30" s="9">
        <f>COUNTIFS('Casos de prueba'!$D$5:$D$66,A30,'Casos de prueba'!$R$5:$R$66,"FAIL")</f>
        <v>0</v>
      </c>
      <c r="I30" s="9">
        <f>COUNTIFS('Casos de prueba'!$D$5:$D$66,A30,'Casos de prueba'!$X$5:$X$66,"PASS")</f>
        <v>0</v>
      </c>
      <c r="J30" s="9">
        <f>COUNTIFS('Casos de prueba'!$D$5:$D$66,A30,'Casos de prueba'!$X$5:$X$66,"FAIL")</f>
        <v>0</v>
      </c>
      <c r="K30" s="9">
        <f t="shared" si="0"/>
        <v>1</v>
      </c>
      <c r="L30" s="9" t="str">
        <f t="shared" si="1"/>
        <v>Cubierto</v>
      </c>
      <c r="M30" s="9" t="str">
        <f t="shared" si="2"/>
        <v>Pendiente</v>
      </c>
    </row>
    <row r="31" spans="1:13" x14ac:dyDescent="0.25">
      <c r="A31" s="9" t="s">
        <v>626</v>
      </c>
      <c r="B31" s="9" t="s">
        <v>820</v>
      </c>
      <c r="C31" s="9"/>
      <c r="D31" s="9" t="s">
        <v>626</v>
      </c>
      <c r="E31" s="9" t="s">
        <v>625</v>
      </c>
      <c r="F31" s="9">
        <f>COUNTIF('Casos de prueba'!$D$5:$D$66,A31)</f>
        <v>1</v>
      </c>
      <c r="G31" s="9">
        <f>COUNTIFS('Casos de prueba'!$D$5:$D$66,A31,'Casos de prueba'!$R$5:$R$66,"PASS")</f>
        <v>0</v>
      </c>
      <c r="H31" s="9">
        <f>COUNTIFS('Casos de prueba'!$D$5:$D$66,A31,'Casos de prueba'!$R$5:$R$66,"FAIL")</f>
        <v>0</v>
      </c>
      <c r="I31" s="9">
        <f>COUNTIFS('Casos de prueba'!$D$5:$D$66,A31,'Casos de prueba'!$X$5:$X$66,"PASS")</f>
        <v>0</v>
      </c>
      <c r="J31" s="9">
        <f>COUNTIFS('Casos de prueba'!$D$5:$D$66,A31,'Casos de prueba'!$X$5:$X$66,"FAIL")</f>
        <v>0</v>
      </c>
      <c r="K31" s="9">
        <f t="shared" si="0"/>
        <v>1</v>
      </c>
      <c r="L31" s="9" t="str">
        <f t="shared" si="1"/>
        <v>Parcial</v>
      </c>
      <c r="M31" s="9" t="str">
        <f t="shared" si="2"/>
        <v>Pendiente</v>
      </c>
    </row>
    <row r="32" spans="1:13" x14ac:dyDescent="0.25">
      <c r="A32" s="9" t="s">
        <v>632</v>
      </c>
      <c r="B32" s="9" t="s">
        <v>821</v>
      </c>
      <c r="C32" s="9"/>
      <c r="D32" s="9" t="s">
        <v>632</v>
      </c>
      <c r="E32" s="9" t="s">
        <v>631</v>
      </c>
      <c r="F32" s="9">
        <f>COUNTIF('Casos de prueba'!$D$5:$D$66,A32)</f>
        <v>1</v>
      </c>
      <c r="G32" s="9">
        <f>COUNTIFS('Casos de prueba'!$D$5:$D$66,A32,'Casos de prueba'!$R$5:$R$66,"PASS")</f>
        <v>0</v>
      </c>
      <c r="H32" s="9">
        <f>COUNTIFS('Casos de prueba'!$D$5:$D$66,A32,'Casos de prueba'!$R$5:$R$66,"FAIL")</f>
        <v>0</v>
      </c>
      <c r="I32" s="9">
        <f>COUNTIFS('Casos de prueba'!$D$5:$D$66,A32,'Casos de prueba'!$X$5:$X$66,"PASS")</f>
        <v>0</v>
      </c>
      <c r="J32" s="9">
        <f>COUNTIFS('Casos de prueba'!$D$5:$D$66,A32,'Casos de prueba'!$X$5:$X$66,"FAIL")</f>
        <v>0</v>
      </c>
      <c r="K32" s="9">
        <f t="shared" si="0"/>
        <v>1</v>
      </c>
      <c r="L32" s="9" t="str">
        <f t="shared" si="1"/>
        <v>Parcial</v>
      </c>
      <c r="M32" s="9" t="str">
        <f t="shared" si="2"/>
        <v>Pendiente</v>
      </c>
    </row>
    <row r="33" spans="1:13" x14ac:dyDescent="0.25">
      <c r="A33" s="9" t="s">
        <v>640</v>
      </c>
      <c r="B33" s="9" t="s">
        <v>822</v>
      </c>
      <c r="C33" s="9"/>
      <c r="D33" s="9" t="s">
        <v>640</v>
      </c>
      <c r="E33" s="9" t="s">
        <v>638</v>
      </c>
      <c r="F33" s="9">
        <f>COUNTIF('Casos de prueba'!$D$5:$D$66,A33)</f>
        <v>1</v>
      </c>
      <c r="G33" s="9">
        <f>COUNTIFS('Casos de prueba'!$D$5:$D$66,A33,'Casos de prueba'!$R$5:$R$66,"PASS")</f>
        <v>1</v>
      </c>
      <c r="H33" s="9">
        <f>COUNTIFS('Casos de prueba'!$D$5:$D$66,A33,'Casos de prueba'!$R$5:$R$66,"FAIL")</f>
        <v>0</v>
      </c>
      <c r="I33" s="9">
        <f>COUNTIFS('Casos de prueba'!$D$5:$D$66,A33,'Casos de prueba'!$X$5:$X$66,"PASS")</f>
        <v>0</v>
      </c>
      <c r="J33" s="9">
        <f>COUNTIFS('Casos de prueba'!$D$5:$D$66,A33,'Casos de prueba'!$X$5:$X$66,"FAIL")</f>
        <v>0</v>
      </c>
      <c r="K33" s="9">
        <f t="shared" si="0"/>
        <v>1</v>
      </c>
      <c r="L33" s="9" t="str">
        <f t="shared" si="1"/>
        <v>Cubierto</v>
      </c>
      <c r="M33" s="9" t="str">
        <f t="shared" si="2"/>
        <v>Pendiente</v>
      </c>
    </row>
    <row r="34" spans="1:13" ht="25.5" x14ac:dyDescent="0.25">
      <c r="A34" s="9" t="s">
        <v>648</v>
      </c>
      <c r="B34" s="9" t="s">
        <v>823</v>
      </c>
      <c r="C34" s="9"/>
      <c r="D34" s="9" t="s">
        <v>648</v>
      </c>
      <c r="E34" s="9" t="s">
        <v>647</v>
      </c>
      <c r="F34" s="9">
        <f>COUNTIF('Casos de prueba'!$D$5:$D$66,A34)</f>
        <v>1</v>
      </c>
      <c r="G34" s="9">
        <f>COUNTIFS('Casos de prueba'!$D$5:$D$66,A34,'Casos de prueba'!$R$5:$R$66,"PASS")</f>
        <v>1</v>
      </c>
      <c r="H34" s="9">
        <f>COUNTIFS('Casos de prueba'!$D$5:$D$66,A34,'Casos de prueba'!$R$5:$R$66,"FAIL")</f>
        <v>0</v>
      </c>
      <c r="I34" s="9">
        <f>COUNTIFS('Casos de prueba'!$D$5:$D$66,A34,'Casos de prueba'!$X$5:$X$66,"PASS")</f>
        <v>0</v>
      </c>
      <c r="J34" s="9">
        <f>COUNTIFS('Casos de prueba'!$D$5:$D$66,A34,'Casos de prueba'!$X$5:$X$66,"FAIL")</f>
        <v>0</v>
      </c>
      <c r="K34" s="9">
        <f t="shared" si="0"/>
        <v>1</v>
      </c>
      <c r="L34" s="9" t="str">
        <f t="shared" si="1"/>
        <v>Cubierto</v>
      </c>
      <c r="M34" s="9" t="str">
        <f t="shared" si="2"/>
        <v>Pendiente</v>
      </c>
    </row>
    <row r="35" spans="1:13" x14ac:dyDescent="0.25">
      <c r="A35" s="13" t="s">
        <v>824</v>
      </c>
      <c r="B35" s="13"/>
      <c r="C35" s="13"/>
      <c r="D35" s="13"/>
      <c r="E35" s="13"/>
      <c r="F35" s="13">
        <f t="shared" ref="F35:K35" si="3">SUM(F5:F34)</f>
        <v>62</v>
      </c>
      <c r="G35" s="13">
        <f t="shared" si="3"/>
        <v>50</v>
      </c>
      <c r="H35" s="13">
        <f t="shared" si="3"/>
        <v>0</v>
      </c>
      <c r="I35" s="13">
        <f t="shared" si="3"/>
        <v>0</v>
      </c>
      <c r="J35" s="13">
        <f t="shared" si="3"/>
        <v>0</v>
      </c>
      <c r="K35" s="13">
        <f t="shared" si="3"/>
        <v>62</v>
      </c>
      <c r="L35" s="13" t="str">
        <f>COUNTIF(L5:L34,"Cubierto")&amp;" de "&amp;COUNTA(A5:A34)&amp;" cubiertos"</f>
        <v>22 de 30 cubiertos</v>
      </c>
      <c r="M35" s="13" t="str">
        <f>COUNTIF(M5:M34,"Cumple")&amp;" de "&amp;COUNTA(A5:A34)&amp;" cumplen"</f>
        <v>0 de 30 cumplen</v>
      </c>
    </row>
  </sheetData>
  <conditionalFormatting sqref="L5:M34">
    <cfRule type="cellIs" dxfId="25" priority="1" operator="equal">
      <formula>"PASS"</formula>
    </cfRule>
    <cfRule type="cellIs" dxfId="24" priority="2" operator="equal">
      <formula>"FAIL"</formula>
    </cfRule>
    <cfRule type="cellIs" dxfId="23" priority="3" operator="equal">
      <formula>"Bloqueado"</formula>
    </cfRule>
    <cfRule type="cellIs" dxfId="22" priority="4" operator="equal">
      <formula>"No ejecutado"</formula>
    </cfRule>
    <cfRule type="cellIs" dxfId="21" priority="5" operator="equal">
      <formula>"Cumple"</formula>
    </cfRule>
    <cfRule type="cellIs" dxfId="20" priority="6" operator="equal">
      <formula>"No cumple"</formula>
    </cfRule>
    <cfRule type="cellIs" dxfId="19" priority="7" operator="equal">
      <formula>"Parcial"</formula>
    </cfRule>
    <cfRule type="cellIs" dxfId="18" priority="8" operator="equal">
      <formula>"Pendiente"</formula>
    </cfRule>
    <cfRule type="cellIs" dxfId="17" priority="9" operator="equal">
      <formula>"Con fallas"</formula>
    </cfRule>
    <cfRule type="cellIs" dxfId="16" priority="10" operator="equal">
      <formula>"Cubierto"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7" customWidth="1"/>
    <col min="2" max="2" width="18" customWidth="1"/>
    <col min="3" max="3" width="40" customWidth="1"/>
    <col min="4" max="4" width="32" customWidth="1"/>
    <col min="5" max="5" width="12" customWidth="1"/>
    <col min="6" max="6" width="44" customWidth="1"/>
    <col min="7" max="7" width="40" customWidth="1"/>
    <col min="8" max="8" width="18" customWidth="1"/>
    <col min="9" max="9" width="12" customWidth="1"/>
  </cols>
  <sheetData>
    <row r="1" spans="1:9" ht="18" x14ac:dyDescent="0.25">
      <c r="A1" s="1" t="s">
        <v>825</v>
      </c>
    </row>
    <row r="2" spans="1:9" x14ac:dyDescent="0.25">
      <c r="A2" s="2" t="s">
        <v>826</v>
      </c>
    </row>
    <row r="4" spans="1:9" ht="25.5" x14ac:dyDescent="0.25">
      <c r="A4" s="8" t="s">
        <v>114</v>
      </c>
      <c r="B4" s="8" t="s">
        <v>827</v>
      </c>
      <c r="C4" s="8" t="s">
        <v>828</v>
      </c>
      <c r="D4" s="8" t="s">
        <v>829</v>
      </c>
      <c r="E4" s="8" t="s">
        <v>830</v>
      </c>
      <c r="F4" s="8" t="s">
        <v>831</v>
      </c>
      <c r="G4" s="8" t="s">
        <v>832</v>
      </c>
      <c r="H4" s="8" t="s">
        <v>833</v>
      </c>
      <c r="I4" s="8" t="s">
        <v>834</v>
      </c>
    </row>
    <row r="5" spans="1:9" ht="48" customHeight="1" x14ac:dyDescent="0.25">
      <c r="A5" s="9" t="s">
        <v>835</v>
      </c>
      <c r="B5" s="9" t="s">
        <v>836</v>
      </c>
      <c r="C5" s="9" t="s">
        <v>837</v>
      </c>
      <c r="D5" s="9" t="s">
        <v>838</v>
      </c>
      <c r="E5" s="12" t="s">
        <v>839</v>
      </c>
      <c r="F5" s="12" t="s">
        <v>840</v>
      </c>
      <c r="G5" s="12"/>
      <c r="H5" s="12" t="s">
        <v>695</v>
      </c>
      <c r="I5" s="12" t="s">
        <v>146</v>
      </c>
    </row>
    <row r="6" spans="1:9" ht="48" customHeight="1" x14ac:dyDescent="0.25">
      <c r="A6" s="9" t="s">
        <v>841</v>
      </c>
      <c r="B6" s="9" t="s">
        <v>836</v>
      </c>
      <c r="C6" s="9" t="s">
        <v>842</v>
      </c>
      <c r="D6" s="9" t="s">
        <v>843</v>
      </c>
      <c r="E6" s="12" t="s">
        <v>839</v>
      </c>
      <c r="F6" s="12" t="s">
        <v>844</v>
      </c>
      <c r="G6" s="12" t="s">
        <v>845</v>
      </c>
      <c r="H6" s="12" t="s">
        <v>695</v>
      </c>
      <c r="I6" s="12" t="s">
        <v>146</v>
      </c>
    </row>
    <row r="7" spans="1:9" ht="48" customHeight="1" x14ac:dyDescent="0.25">
      <c r="A7" s="9" t="s">
        <v>846</v>
      </c>
      <c r="B7" s="9" t="s">
        <v>836</v>
      </c>
      <c r="C7" s="9" t="s">
        <v>847</v>
      </c>
      <c r="D7" s="9" t="s">
        <v>848</v>
      </c>
      <c r="E7" s="12" t="s">
        <v>839</v>
      </c>
      <c r="F7" s="12" t="s">
        <v>849</v>
      </c>
      <c r="G7" s="12"/>
      <c r="H7" s="12" t="s">
        <v>695</v>
      </c>
      <c r="I7" s="12" t="s">
        <v>146</v>
      </c>
    </row>
    <row r="8" spans="1:9" ht="48" customHeight="1" x14ac:dyDescent="0.25">
      <c r="A8" s="9" t="s">
        <v>850</v>
      </c>
      <c r="B8" s="9" t="s">
        <v>851</v>
      </c>
      <c r="C8" s="9" t="s">
        <v>852</v>
      </c>
      <c r="D8" s="9" t="s">
        <v>853</v>
      </c>
      <c r="E8" s="12" t="s">
        <v>839</v>
      </c>
      <c r="F8" s="12" t="s">
        <v>854</v>
      </c>
      <c r="G8" s="12"/>
      <c r="H8" s="12" t="s">
        <v>695</v>
      </c>
      <c r="I8" s="12" t="s">
        <v>146</v>
      </c>
    </row>
    <row r="9" spans="1:9" ht="48" customHeight="1" x14ac:dyDescent="0.25">
      <c r="A9" s="9" t="s">
        <v>855</v>
      </c>
      <c r="B9" s="9" t="s">
        <v>851</v>
      </c>
      <c r="C9" s="9" t="s">
        <v>856</v>
      </c>
      <c r="D9" s="9" t="s">
        <v>857</v>
      </c>
      <c r="E9" s="12" t="s">
        <v>839</v>
      </c>
      <c r="F9" s="12" t="s">
        <v>858</v>
      </c>
      <c r="G9" s="12"/>
      <c r="H9" s="12" t="s">
        <v>695</v>
      </c>
      <c r="I9" s="12" t="s">
        <v>146</v>
      </c>
    </row>
    <row r="10" spans="1:9" ht="48" customHeight="1" x14ac:dyDescent="0.25">
      <c r="A10" s="9" t="s">
        <v>859</v>
      </c>
      <c r="B10" s="9" t="s">
        <v>860</v>
      </c>
      <c r="C10" s="9" t="s">
        <v>861</v>
      </c>
      <c r="D10" s="9" t="s">
        <v>862</v>
      </c>
      <c r="E10" s="12" t="s">
        <v>839</v>
      </c>
      <c r="F10" s="12" t="s">
        <v>863</v>
      </c>
      <c r="G10" s="12"/>
      <c r="H10" s="12" t="s">
        <v>704</v>
      </c>
      <c r="I10" s="12" t="s">
        <v>146</v>
      </c>
    </row>
    <row r="11" spans="1:9" ht="48" customHeight="1" x14ac:dyDescent="0.25">
      <c r="A11" s="9" t="s">
        <v>864</v>
      </c>
      <c r="B11" s="9" t="s">
        <v>860</v>
      </c>
      <c r="C11" s="9" t="s">
        <v>865</v>
      </c>
      <c r="D11" s="9" t="s">
        <v>866</v>
      </c>
      <c r="E11" s="12" t="s">
        <v>839</v>
      </c>
      <c r="F11" s="12" t="s">
        <v>867</v>
      </c>
      <c r="G11" s="12"/>
      <c r="H11" s="12" t="s">
        <v>704</v>
      </c>
      <c r="I11" s="12" t="s">
        <v>146</v>
      </c>
    </row>
    <row r="12" spans="1:9" ht="48" customHeight="1" x14ac:dyDescent="0.25">
      <c r="A12" s="9" t="s">
        <v>868</v>
      </c>
      <c r="B12" s="9" t="s">
        <v>869</v>
      </c>
      <c r="C12" s="9" t="s">
        <v>870</v>
      </c>
      <c r="D12" s="9" t="s">
        <v>871</v>
      </c>
      <c r="E12" s="12" t="s">
        <v>839</v>
      </c>
      <c r="F12" s="12" t="s">
        <v>872</v>
      </c>
      <c r="G12" s="12"/>
      <c r="H12" s="12" t="s">
        <v>695</v>
      </c>
      <c r="I12" s="12" t="s">
        <v>146</v>
      </c>
    </row>
    <row r="13" spans="1:9" ht="48" customHeight="1" x14ac:dyDescent="0.25">
      <c r="A13" s="9" t="s">
        <v>873</v>
      </c>
      <c r="B13" s="9" t="s">
        <v>869</v>
      </c>
      <c r="C13" s="9" t="s">
        <v>874</v>
      </c>
      <c r="D13" s="9" t="s">
        <v>875</v>
      </c>
      <c r="E13" s="12" t="s">
        <v>839</v>
      </c>
      <c r="F13" s="12" t="s">
        <v>876</v>
      </c>
      <c r="G13" s="12"/>
      <c r="H13" s="12" t="s">
        <v>695</v>
      </c>
      <c r="I13" s="12" t="s">
        <v>146</v>
      </c>
    </row>
    <row r="14" spans="1:9" ht="48" customHeight="1" x14ac:dyDescent="0.25">
      <c r="A14" s="9" t="s">
        <v>877</v>
      </c>
      <c r="B14" s="9" t="s">
        <v>878</v>
      </c>
      <c r="C14" s="9" t="s">
        <v>879</v>
      </c>
      <c r="D14" s="9" t="s">
        <v>880</v>
      </c>
      <c r="E14" s="12" t="s">
        <v>839</v>
      </c>
      <c r="F14" s="12" t="s">
        <v>881</v>
      </c>
      <c r="G14" s="12"/>
      <c r="H14" s="12" t="s">
        <v>695</v>
      </c>
      <c r="I14" s="12" t="s">
        <v>146</v>
      </c>
    </row>
    <row r="15" spans="1:9" ht="48" customHeight="1" x14ac:dyDescent="0.25">
      <c r="A15" s="9" t="s">
        <v>882</v>
      </c>
      <c r="B15" s="9" t="s">
        <v>878</v>
      </c>
      <c r="C15" s="9" t="s">
        <v>883</v>
      </c>
      <c r="D15" s="9" t="s">
        <v>884</v>
      </c>
      <c r="E15" s="12" t="s">
        <v>839</v>
      </c>
      <c r="F15" s="12" t="s">
        <v>885</v>
      </c>
      <c r="G15" s="12" t="s">
        <v>886</v>
      </c>
      <c r="H15" s="12" t="s">
        <v>695</v>
      </c>
      <c r="I15" s="12" t="s">
        <v>146</v>
      </c>
    </row>
    <row r="16" spans="1:9" ht="48" customHeight="1" x14ac:dyDescent="0.25">
      <c r="A16" s="9" t="s">
        <v>887</v>
      </c>
      <c r="B16" s="9" t="s">
        <v>888</v>
      </c>
      <c r="C16" s="9" t="s">
        <v>889</v>
      </c>
      <c r="D16" s="9" t="s">
        <v>890</v>
      </c>
      <c r="E16" s="12" t="s">
        <v>891</v>
      </c>
      <c r="F16" s="12" t="s">
        <v>892</v>
      </c>
      <c r="G16" s="12" t="s">
        <v>893</v>
      </c>
      <c r="H16" s="12" t="s">
        <v>704</v>
      </c>
      <c r="I16" s="12" t="s">
        <v>146</v>
      </c>
    </row>
    <row r="17" spans="1:9" ht="48" customHeight="1" x14ac:dyDescent="0.25">
      <c r="A17" s="9" t="s">
        <v>894</v>
      </c>
      <c r="B17" s="9" t="s">
        <v>895</v>
      </c>
      <c r="C17" s="9" t="s">
        <v>896</v>
      </c>
      <c r="D17" s="9" t="s">
        <v>897</v>
      </c>
      <c r="E17" s="12" t="s">
        <v>839</v>
      </c>
      <c r="F17" s="12" t="s">
        <v>898</v>
      </c>
      <c r="G17" s="12"/>
      <c r="H17" s="12" t="s">
        <v>695</v>
      </c>
      <c r="I17" s="12" t="s">
        <v>146</v>
      </c>
    </row>
    <row r="18" spans="1:9" ht="48" customHeight="1" x14ac:dyDescent="0.25">
      <c r="A18" s="9" t="s">
        <v>899</v>
      </c>
      <c r="B18" s="9" t="s">
        <v>895</v>
      </c>
      <c r="C18" s="9" t="s">
        <v>900</v>
      </c>
      <c r="D18" s="9" t="s">
        <v>901</v>
      </c>
      <c r="E18" s="12" t="s">
        <v>839</v>
      </c>
      <c r="F18" s="12" t="s">
        <v>902</v>
      </c>
      <c r="G18" s="12" t="s">
        <v>903</v>
      </c>
      <c r="H18" s="12" t="s">
        <v>695</v>
      </c>
      <c r="I18" s="12" t="s">
        <v>146</v>
      </c>
    </row>
    <row r="19" spans="1:9" ht="48" customHeight="1" x14ac:dyDescent="0.25">
      <c r="A19" s="9" t="s">
        <v>904</v>
      </c>
      <c r="B19" s="9" t="s">
        <v>895</v>
      </c>
      <c r="C19" s="9" t="s">
        <v>905</v>
      </c>
      <c r="D19" s="9" t="s">
        <v>906</v>
      </c>
      <c r="E19" s="12" t="s">
        <v>839</v>
      </c>
      <c r="F19" s="12" t="s">
        <v>907</v>
      </c>
      <c r="G19" s="12"/>
      <c r="H19" s="12" t="s">
        <v>695</v>
      </c>
      <c r="I19" s="12" t="s">
        <v>146</v>
      </c>
    </row>
    <row r="20" spans="1:9" ht="48" customHeight="1" x14ac:dyDescent="0.25">
      <c r="A20" s="9" t="s">
        <v>908</v>
      </c>
      <c r="B20" s="9" t="s">
        <v>895</v>
      </c>
      <c r="C20" s="9" t="s">
        <v>909</v>
      </c>
      <c r="D20" s="9" t="s">
        <v>910</v>
      </c>
      <c r="E20" s="12" t="s">
        <v>839</v>
      </c>
      <c r="F20" s="12" t="s">
        <v>911</v>
      </c>
      <c r="G20" s="12"/>
      <c r="H20" s="12" t="s">
        <v>695</v>
      </c>
      <c r="I20" s="12" t="s">
        <v>146</v>
      </c>
    </row>
    <row r="21" spans="1:9" ht="48" customHeight="1" x14ac:dyDescent="0.25">
      <c r="A21" s="9" t="s">
        <v>912</v>
      </c>
      <c r="B21" s="9" t="s">
        <v>913</v>
      </c>
      <c r="C21" s="9" t="s">
        <v>914</v>
      </c>
      <c r="D21" s="9" t="s">
        <v>915</v>
      </c>
      <c r="E21" s="12" t="s">
        <v>839</v>
      </c>
      <c r="F21" s="12" t="s">
        <v>916</v>
      </c>
      <c r="G21" s="12"/>
      <c r="H21" s="12" t="s">
        <v>695</v>
      </c>
      <c r="I21" s="12" t="s">
        <v>146</v>
      </c>
    </row>
    <row r="22" spans="1:9" ht="48" customHeight="1" x14ac:dyDescent="0.25">
      <c r="A22" s="9" t="s">
        <v>917</v>
      </c>
      <c r="B22" s="9" t="s">
        <v>913</v>
      </c>
      <c r="C22" s="9" t="s">
        <v>918</v>
      </c>
      <c r="D22" s="9" t="s">
        <v>919</v>
      </c>
      <c r="E22" s="12" t="s">
        <v>839</v>
      </c>
      <c r="F22" s="12" t="s">
        <v>920</v>
      </c>
      <c r="G22" s="12"/>
      <c r="H22" s="12" t="s">
        <v>695</v>
      </c>
      <c r="I22" s="12" t="s">
        <v>146</v>
      </c>
    </row>
    <row r="23" spans="1:9" ht="48" customHeight="1" x14ac:dyDescent="0.25">
      <c r="A23" s="9" t="s">
        <v>921</v>
      </c>
      <c r="B23" s="9" t="s">
        <v>913</v>
      </c>
      <c r="C23" s="9" t="s">
        <v>922</v>
      </c>
      <c r="D23" s="9" t="s">
        <v>923</v>
      </c>
      <c r="E23" s="12" t="s">
        <v>891</v>
      </c>
      <c r="F23" s="12" t="s">
        <v>924</v>
      </c>
      <c r="G23" s="12" t="s">
        <v>925</v>
      </c>
      <c r="H23" s="12" t="s">
        <v>695</v>
      </c>
      <c r="I23" s="12" t="s">
        <v>146</v>
      </c>
    </row>
    <row r="24" spans="1:9" ht="48" customHeight="1" x14ac:dyDescent="0.25">
      <c r="A24" s="9" t="s">
        <v>926</v>
      </c>
      <c r="B24" s="9" t="s">
        <v>927</v>
      </c>
      <c r="C24" s="9" t="s">
        <v>928</v>
      </c>
      <c r="D24" s="9" t="s">
        <v>929</v>
      </c>
      <c r="E24" s="12" t="s">
        <v>839</v>
      </c>
      <c r="F24" s="12" t="s">
        <v>930</v>
      </c>
      <c r="G24" s="12"/>
      <c r="H24" s="12" t="s">
        <v>695</v>
      </c>
      <c r="I24" s="12" t="s">
        <v>146</v>
      </c>
    </row>
    <row r="25" spans="1:9" ht="48" customHeight="1" x14ac:dyDescent="0.25">
      <c r="A25" s="9" t="s">
        <v>931</v>
      </c>
      <c r="B25" s="9" t="s">
        <v>927</v>
      </c>
      <c r="C25" s="9" t="s">
        <v>932</v>
      </c>
      <c r="D25" s="9" t="s">
        <v>933</v>
      </c>
      <c r="E25" s="12" t="s">
        <v>839</v>
      </c>
      <c r="F25" s="12" t="s">
        <v>934</v>
      </c>
      <c r="G25" s="12"/>
      <c r="H25" s="12" t="s">
        <v>695</v>
      </c>
      <c r="I25" s="12" t="s">
        <v>146</v>
      </c>
    </row>
    <row r="26" spans="1:9" ht="48" customHeight="1" x14ac:dyDescent="0.25">
      <c r="A26" s="9" t="s">
        <v>935</v>
      </c>
      <c r="B26" s="9" t="s">
        <v>936</v>
      </c>
      <c r="C26" s="9" t="s">
        <v>937</v>
      </c>
      <c r="D26" s="9" t="s">
        <v>938</v>
      </c>
      <c r="E26" s="12" t="s">
        <v>839</v>
      </c>
      <c r="F26" s="12" t="s">
        <v>939</v>
      </c>
      <c r="G26" s="12"/>
      <c r="H26" s="12" t="s">
        <v>695</v>
      </c>
      <c r="I26" s="12" t="s">
        <v>146</v>
      </c>
    </row>
    <row r="27" spans="1:9" ht="48" customHeight="1" x14ac:dyDescent="0.25">
      <c r="A27" s="9" t="s">
        <v>940</v>
      </c>
      <c r="B27" s="9" t="s">
        <v>936</v>
      </c>
      <c r="C27" s="9" t="s">
        <v>941</v>
      </c>
      <c r="D27" s="9" t="s">
        <v>942</v>
      </c>
      <c r="E27" s="12" t="s">
        <v>839</v>
      </c>
      <c r="F27" s="12" t="s">
        <v>943</v>
      </c>
      <c r="G27" s="12" t="s">
        <v>944</v>
      </c>
      <c r="H27" s="12" t="s">
        <v>695</v>
      </c>
      <c r="I27" s="12" t="s">
        <v>146</v>
      </c>
    </row>
    <row r="28" spans="1:9" ht="48" customHeight="1" x14ac:dyDescent="0.25">
      <c r="A28" s="9" t="s">
        <v>945</v>
      </c>
      <c r="B28" s="9" t="s">
        <v>946</v>
      </c>
      <c r="C28" s="9" t="s">
        <v>947</v>
      </c>
      <c r="D28" s="9" t="s">
        <v>948</v>
      </c>
      <c r="E28" s="12" t="s">
        <v>839</v>
      </c>
      <c r="F28" s="12" t="s">
        <v>949</v>
      </c>
      <c r="G28" s="12"/>
      <c r="H28" s="12" t="s">
        <v>695</v>
      </c>
      <c r="I28" s="12" t="s">
        <v>146</v>
      </c>
    </row>
    <row r="29" spans="1:9" ht="48" customHeight="1" x14ac:dyDescent="0.25">
      <c r="A29" s="9" t="s">
        <v>950</v>
      </c>
      <c r="B29" s="9" t="s">
        <v>951</v>
      </c>
      <c r="C29" s="9" t="s">
        <v>952</v>
      </c>
      <c r="D29" s="9" t="s">
        <v>953</v>
      </c>
      <c r="E29" s="12" t="s">
        <v>954</v>
      </c>
      <c r="F29" s="12" t="s">
        <v>955</v>
      </c>
      <c r="G29" s="12" t="s">
        <v>956</v>
      </c>
      <c r="H29" s="12" t="s">
        <v>695</v>
      </c>
      <c r="I29" s="12" t="s">
        <v>146</v>
      </c>
    </row>
    <row r="31" spans="1:9" x14ac:dyDescent="0.25">
      <c r="B31" s="16" t="s">
        <v>957</v>
      </c>
      <c r="C31" s="17">
        <f>(COUNTIF(E5:E29,"Cumple")+0.5*COUNTIF(E5:E29,"Parcial"))/COUNTA(E5:E29)</f>
        <v>0.92</v>
      </c>
      <c r="D31" s="18" t="s">
        <v>958</v>
      </c>
    </row>
  </sheetData>
  <conditionalFormatting sqref="E5:E29">
    <cfRule type="cellIs" dxfId="15" priority="1" operator="equal">
      <formula>"PASS"</formula>
    </cfRule>
    <cfRule type="cellIs" dxfId="14" priority="2" operator="equal">
      <formula>"FAIL"</formula>
    </cfRule>
    <cfRule type="cellIs" dxfId="13" priority="3" operator="equal">
      <formula>"Bloqueado"</formula>
    </cfRule>
    <cfRule type="cellIs" dxfId="12" priority="4" operator="equal">
      <formula>"No ejecutado"</formula>
    </cfRule>
    <cfRule type="cellIs" dxfId="11" priority="5" operator="equal">
      <formula>"Cumple"</formula>
    </cfRule>
    <cfRule type="cellIs" dxfId="10" priority="6" operator="equal">
      <formula>"No cumple"</formula>
    </cfRule>
    <cfRule type="cellIs" dxfId="9" priority="7" operator="equal">
      <formula>"Parcial"</formula>
    </cfRule>
    <cfRule type="cellIs" dxfId="8" priority="8" operator="equal">
      <formula>"Pendiente"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Listas!$E$2:$E$5</xm:f>
          </x14:formula1>
          <xm:sqref>E5:E29</xm:sqref>
        </x14:dataValidation>
        <x14:dataValidation type="list" allowBlank="1" xr:uid="{00000000-0002-0000-0500-000001000000}">
          <x14:formula1>
            <xm:f>Listas!$G$2:$G$4</xm:f>
          </x14:formula1>
          <xm:sqref>H5:H29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41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7" customWidth="1"/>
    <col min="2" max="2" width="18" customWidth="1"/>
    <col min="3" max="3" width="20" customWidth="1"/>
    <col min="4" max="4" width="40" customWidth="1"/>
    <col min="5" max="5" width="26" customWidth="1"/>
    <col min="6" max="6" width="30" customWidth="1"/>
    <col min="7" max="7" width="12" customWidth="1"/>
    <col min="8" max="8" width="40" customWidth="1"/>
    <col min="9" max="9" width="34" customWidth="1"/>
  </cols>
  <sheetData>
    <row r="1" spans="1:9" ht="18" x14ac:dyDescent="0.25">
      <c r="A1" s="1" t="s">
        <v>959</v>
      </c>
    </row>
    <row r="2" spans="1:9" x14ac:dyDescent="0.25">
      <c r="A2" s="2" t="s">
        <v>960</v>
      </c>
    </row>
    <row r="4" spans="1:9" x14ac:dyDescent="0.25">
      <c r="A4" s="8" t="s">
        <v>114</v>
      </c>
      <c r="B4" s="8" t="s">
        <v>961</v>
      </c>
      <c r="C4" s="8" t="s">
        <v>962</v>
      </c>
      <c r="D4" s="8" t="s">
        <v>963</v>
      </c>
      <c r="E4" s="8" t="s">
        <v>964</v>
      </c>
      <c r="F4" s="8" t="s">
        <v>965</v>
      </c>
      <c r="G4" s="8" t="s">
        <v>966</v>
      </c>
      <c r="H4" s="8" t="s">
        <v>132</v>
      </c>
      <c r="I4" s="8" t="s">
        <v>967</v>
      </c>
    </row>
    <row r="5" spans="1:9" ht="45" customHeight="1" x14ac:dyDescent="0.25">
      <c r="A5" s="9" t="s">
        <v>968</v>
      </c>
      <c r="B5" s="9" t="s">
        <v>969</v>
      </c>
      <c r="C5" s="9" t="s">
        <v>970</v>
      </c>
      <c r="D5" s="9" t="s">
        <v>971</v>
      </c>
      <c r="E5" s="9" t="s">
        <v>972</v>
      </c>
      <c r="F5" s="9" t="s">
        <v>973</v>
      </c>
      <c r="G5" s="12" t="s">
        <v>954</v>
      </c>
      <c r="H5" s="12" t="s">
        <v>974</v>
      </c>
      <c r="I5" s="12" t="s">
        <v>975</v>
      </c>
    </row>
    <row r="6" spans="1:9" ht="45" customHeight="1" x14ac:dyDescent="0.25">
      <c r="A6" s="9" t="s">
        <v>976</v>
      </c>
      <c r="B6" s="9" t="s">
        <v>969</v>
      </c>
      <c r="C6" s="9" t="s">
        <v>977</v>
      </c>
      <c r="D6" s="9" t="s">
        <v>978</v>
      </c>
      <c r="E6" s="9" t="s">
        <v>979</v>
      </c>
      <c r="F6" s="9" t="s">
        <v>980</v>
      </c>
      <c r="G6" s="12" t="s">
        <v>839</v>
      </c>
      <c r="H6" s="12" t="s">
        <v>981</v>
      </c>
      <c r="I6" s="12" t="s">
        <v>982</v>
      </c>
    </row>
    <row r="7" spans="1:9" ht="45" customHeight="1" x14ac:dyDescent="0.25">
      <c r="A7" s="9" t="s">
        <v>983</v>
      </c>
      <c r="B7" s="9" t="s">
        <v>969</v>
      </c>
      <c r="C7" s="9" t="s">
        <v>984</v>
      </c>
      <c r="D7" s="9" t="s">
        <v>985</v>
      </c>
      <c r="E7" s="9" t="s">
        <v>986</v>
      </c>
      <c r="F7" s="9" t="s">
        <v>987</v>
      </c>
      <c r="G7" s="12" t="s">
        <v>839</v>
      </c>
      <c r="H7" s="12" t="s">
        <v>988</v>
      </c>
      <c r="I7" s="12"/>
    </row>
    <row r="8" spans="1:9" ht="45" customHeight="1" x14ac:dyDescent="0.25">
      <c r="A8" s="9" t="s">
        <v>989</v>
      </c>
      <c r="B8" s="9" t="s">
        <v>990</v>
      </c>
      <c r="C8" s="9" t="s">
        <v>991</v>
      </c>
      <c r="D8" s="9" t="s">
        <v>992</v>
      </c>
      <c r="E8" s="9" t="s">
        <v>993</v>
      </c>
      <c r="F8" s="9" t="s">
        <v>994</v>
      </c>
      <c r="G8" s="12" t="s">
        <v>839</v>
      </c>
      <c r="H8" s="12" t="s">
        <v>995</v>
      </c>
      <c r="I8" s="12" t="s">
        <v>996</v>
      </c>
    </row>
    <row r="9" spans="1:9" ht="45" customHeight="1" x14ac:dyDescent="0.25">
      <c r="A9" s="9" t="s">
        <v>997</v>
      </c>
      <c r="B9" s="9" t="s">
        <v>990</v>
      </c>
      <c r="C9" s="9" t="s">
        <v>998</v>
      </c>
      <c r="D9" s="9" t="s">
        <v>999</v>
      </c>
      <c r="E9" s="9" t="s">
        <v>1000</v>
      </c>
      <c r="F9" s="9" t="s">
        <v>1001</v>
      </c>
      <c r="G9" s="12" t="s">
        <v>839</v>
      </c>
      <c r="H9" s="12" t="s">
        <v>1002</v>
      </c>
      <c r="I9" s="12"/>
    </row>
    <row r="10" spans="1:9" ht="45" customHeight="1" x14ac:dyDescent="0.25">
      <c r="A10" s="9" t="s">
        <v>1003</v>
      </c>
      <c r="B10" s="9" t="s">
        <v>990</v>
      </c>
      <c r="C10" s="9" t="s">
        <v>1004</v>
      </c>
      <c r="D10" s="9" t="s">
        <v>1005</v>
      </c>
      <c r="E10" s="9" t="s">
        <v>1006</v>
      </c>
      <c r="F10" s="9" t="s">
        <v>1007</v>
      </c>
      <c r="G10" s="12" t="s">
        <v>891</v>
      </c>
      <c r="H10" s="12" t="s">
        <v>1008</v>
      </c>
      <c r="I10" s="12" t="s">
        <v>1009</v>
      </c>
    </row>
    <row r="11" spans="1:9" ht="45" customHeight="1" x14ac:dyDescent="0.25">
      <c r="A11" s="9" t="s">
        <v>1010</v>
      </c>
      <c r="B11" s="9" t="s">
        <v>1011</v>
      </c>
      <c r="C11" s="9" t="s">
        <v>1012</v>
      </c>
      <c r="D11" s="9" t="s">
        <v>1013</v>
      </c>
      <c r="E11" s="9" t="s">
        <v>564</v>
      </c>
      <c r="F11" s="9" t="s">
        <v>1014</v>
      </c>
      <c r="G11" s="12" t="s">
        <v>839</v>
      </c>
      <c r="H11" s="12" t="s">
        <v>1015</v>
      </c>
      <c r="I11" s="12"/>
    </row>
    <row r="12" spans="1:9" ht="45" customHeight="1" x14ac:dyDescent="0.25">
      <c r="A12" s="9" t="s">
        <v>1016</v>
      </c>
      <c r="B12" s="9" t="s">
        <v>1011</v>
      </c>
      <c r="C12" s="9" t="s">
        <v>1017</v>
      </c>
      <c r="D12" s="9" t="s">
        <v>1018</v>
      </c>
      <c r="E12" s="9" t="s">
        <v>1019</v>
      </c>
      <c r="F12" s="9" t="s">
        <v>1020</v>
      </c>
      <c r="G12" s="12" t="s">
        <v>839</v>
      </c>
      <c r="H12" s="12" t="s">
        <v>1021</v>
      </c>
      <c r="I12" s="12"/>
    </row>
    <row r="13" spans="1:9" ht="45" customHeight="1" x14ac:dyDescent="0.25">
      <c r="A13" s="9" t="s">
        <v>1022</v>
      </c>
      <c r="B13" s="9" t="s">
        <v>1023</v>
      </c>
      <c r="C13" s="9" t="s">
        <v>1024</v>
      </c>
      <c r="D13" s="9" t="s">
        <v>1025</v>
      </c>
      <c r="E13" s="9" t="s">
        <v>1026</v>
      </c>
      <c r="F13" s="9" t="s">
        <v>1027</v>
      </c>
      <c r="G13" s="12" t="s">
        <v>839</v>
      </c>
      <c r="H13" s="12" t="s">
        <v>1028</v>
      </c>
      <c r="I13" s="12" t="s">
        <v>1029</v>
      </c>
    </row>
    <row r="14" spans="1:9" ht="45" customHeight="1" x14ac:dyDescent="0.25">
      <c r="A14" s="9" t="s">
        <v>1030</v>
      </c>
      <c r="B14" s="9" t="s">
        <v>1023</v>
      </c>
      <c r="C14" s="9" t="s">
        <v>1031</v>
      </c>
      <c r="D14" s="9" t="s">
        <v>1032</v>
      </c>
      <c r="E14" s="9" t="s">
        <v>1033</v>
      </c>
      <c r="F14" s="9" t="s">
        <v>1034</v>
      </c>
      <c r="G14" s="12" t="s">
        <v>954</v>
      </c>
      <c r="H14" s="12"/>
      <c r="I14" s="12" t="s">
        <v>1035</v>
      </c>
    </row>
    <row r="15" spans="1:9" ht="45" customHeight="1" x14ac:dyDescent="0.25">
      <c r="A15" s="9" t="s">
        <v>1036</v>
      </c>
      <c r="B15" s="9" t="s">
        <v>1023</v>
      </c>
      <c r="C15" s="9" t="s">
        <v>1037</v>
      </c>
      <c r="D15" s="9" t="s">
        <v>1038</v>
      </c>
      <c r="E15" s="9" t="s">
        <v>1039</v>
      </c>
      <c r="F15" s="9" t="s">
        <v>1040</v>
      </c>
      <c r="G15" s="12" t="s">
        <v>839</v>
      </c>
      <c r="H15" s="12" t="s">
        <v>1041</v>
      </c>
      <c r="I15" s="12"/>
    </row>
    <row r="16" spans="1:9" ht="45" customHeight="1" x14ac:dyDescent="0.25">
      <c r="A16" s="9" t="s">
        <v>1042</v>
      </c>
      <c r="B16" s="9" t="s">
        <v>1023</v>
      </c>
      <c r="C16" s="9" t="s">
        <v>1043</v>
      </c>
      <c r="D16" s="9" t="s">
        <v>1044</v>
      </c>
      <c r="E16" s="9" t="s">
        <v>1045</v>
      </c>
      <c r="F16" s="9" t="s">
        <v>1046</v>
      </c>
      <c r="G16" s="12" t="s">
        <v>839</v>
      </c>
      <c r="H16" s="12" t="s">
        <v>1047</v>
      </c>
      <c r="I16" s="12"/>
    </row>
    <row r="17" spans="1:9" ht="45" customHeight="1" x14ac:dyDescent="0.25">
      <c r="A17" s="9" t="s">
        <v>1048</v>
      </c>
      <c r="B17" s="9" t="s">
        <v>1023</v>
      </c>
      <c r="C17" s="9" t="s">
        <v>1049</v>
      </c>
      <c r="D17" s="9" t="s">
        <v>1050</v>
      </c>
      <c r="E17" s="9" t="s">
        <v>1051</v>
      </c>
      <c r="F17" s="9" t="s">
        <v>1052</v>
      </c>
      <c r="G17" s="12" t="s">
        <v>891</v>
      </c>
      <c r="H17" s="12" t="s">
        <v>1053</v>
      </c>
      <c r="I17" s="12" t="s">
        <v>1054</v>
      </c>
    </row>
    <row r="18" spans="1:9" ht="45" customHeight="1" x14ac:dyDescent="0.25">
      <c r="A18" s="9" t="s">
        <v>1055</v>
      </c>
      <c r="B18" s="9" t="s">
        <v>1023</v>
      </c>
      <c r="C18" s="9" t="s">
        <v>1056</v>
      </c>
      <c r="D18" s="9" t="s">
        <v>1057</v>
      </c>
      <c r="E18" s="9" t="s">
        <v>1058</v>
      </c>
      <c r="F18" s="9" t="s">
        <v>1059</v>
      </c>
      <c r="G18" s="12" t="s">
        <v>954</v>
      </c>
      <c r="H18" s="12" t="s">
        <v>1060</v>
      </c>
      <c r="I18" s="12" t="s">
        <v>1061</v>
      </c>
    </row>
    <row r="19" spans="1:9" ht="45" customHeight="1" x14ac:dyDescent="0.25">
      <c r="A19" s="9" t="s">
        <v>1062</v>
      </c>
      <c r="B19" s="9" t="s">
        <v>1023</v>
      </c>
      <c r="C19" s="9" t="s">
        <v>1063</v>
      </c>
      <c r="D19" s="9" t="s">
        <v>1064</v>
      </c>
      <c r="E19" s="9" t="s">
        <v>1065</v>
      </c>
      <c r="F19" s="9" t="s">
        <v>1066</v>
      </c>
      <c r="G19" s="12" t="s">
        <v>891</v>
      </c>
      <c r="H19" s="12" t="s">
        <v>1067</v>
      </c>
      <c r="I19" s="12" t="s">
        <v>1068</v>
      </c>
    </row>
    <row r="20" spans="1:9" ht="45" customHeight="1" x14ac:dyDescent="0.25">
      <c r="A20" s="9" t="s">
        <v>1069</v>
      </c>
      <c r="B20" s="9" t="s">
        <v>1070</v>
      </c>
      <c r="C20" s="9" t="s">
        <v>1071</v>
      </c>
      <c r="D20" s="9" t="s">
        <v>1072</v>
      </c>
      <c r="E20" s="9" t="s">
        <v>1073</v>
      </c>
      <c r="F20" s="9" t="s">
        <v>1074</v>
      </c>
      <c r="G20" s="12" t="s">
        <v>839</v>
      </c>
      <c r="H20" s="12" t="s">
        <v>1075</v>
      </c>
      <c r="I20" s="12"/>
    </row>
    <row r="21" spans="1:9" ht="45" customHeight="1" x14ac:dyDescent="0.25">
      <c r="A21" s="9" t="s">
        <v>1076</v>
      </c>
      <c r="B21" s="9" t="s">
        <v>1070</v>
      </c>
      <c r="C21" s="9" t="s">
        <v>1077</v>
      </c>
      <c r="D21" s="9" t="s">
        <v>1078</v>
      </c>
      <c r="E21" s="9" t="s">
        <v>1079</v>
      </c>
      <c r="F21" s="9" t="s">
        <v>1080</v>
      </c>
      <c r="G21" s="12" t="s">
        <v>839</v>
      </c>
      <c r="H21" s="12" t="s">
        <v>1081</v>
      </c>
      <c r="I21" s="12" t="s">
        <v>1082</v>
      </c>
    </row>
    <row r="22" spans="1:9" ht="45" customHeight="1" x14ac:dyDescent="0.25">
      <c r="A22" s="9" t="s">
        <v>1083</v>
      </c>
      <c r="B22" s="9" t="s">
        <v>1070</v>
      </c>
      <c r="C22" s="9" t="s">
        <v>1084</v>
      </c>
      <c r="D22" s="9" t="s">
        <v>1085</v>
      </c>
      <c r="E22" s="9" t="s">
        <v>327</v>
      </c>
      <c r="F22" s="9" t="s">
        <v>1086</v>
      </c>
      <c r="G22" s="12" t="s">
        <v>839</v>
      </c>
      <c r="H22" s="12" t="s">
        <v>1087</v>
      </c>
      <c r="I22" s="12"/>
    </row>
    <row r="23" spans="1:9" ht="45" customHeight="1" x14ac:dyDescent="0.25">
      <c r="A23" s="9" t="s">
        <v>1088</v>
      </c>
      <c r="B23" s="9" t="s">
        <v>1070</v>
      </c>
      <c r="C23" s="9" t="s">
        <v>1089</v>
      </c>
      <c r="D23" s="9" t="s">
        <v>1090</v>
      </c>
      <c r="E23" s="9" t="s">
        <v>1091</v>
      </c>
      <c r="F23" s="9" t="s">
        <v>1092</v>
      </c>
      <c r="G23" s="12" t="s">
        <v>891</v>
      </c>
      <c r="H23" s="12" t="s">
        <v>1093</v>
      </c>
      <c r="I23" s="12" t="s">
        <v>1094</v>
      </c>
    </row>
    <row r="24" spans="1:9" ht="45" customHeight="1" x14ac:dyDescent="0.25">
      <c r="A24" s="9" t="s">
        <v>1095</v>
      </c>
      <c r="B24" s="9" t="s">
        <v>1096</v>
      </c>
      <c r="C24" s="9" t="s">
        <v>1097</v>
      </c>
      <c r="D24" s="9" t="s">
        <v>1098</v>
      </c>
      <c r="E24" s="9" t="s">
        <v>1099</v>
      </c>
      <c r="F24" s="9" t="s">
        <v>1100</v>
      </c>
      <c r="G24" s="12" t="s">
        <v>839</v>
      </c>
      <c r="H24" s="12" t="s">
        <v>1101</v>
      </c>
      <c r="I24" s="12"/>
    </row>
    <row r="25" spans="1:9" ht="45" customHeight="1" x14ac:dyDescent="0.25">
      <c r="A25" s="9" t="s">
        <v>1102</v>
      </c>
      <c r="B25" s="9" t="s">
        <v>1096</v>
      </c>
      <c r="C25" s="9" t="s">
        <v>585</v>
      </c>
      <c r="D25" s="9" t="s">
        <v>1103</v>
      </c>
      <c r="E25" s="9" t="s">
        <v>1104</v>
      </c>
      <c r="F25" s="9" t="s">
        <v>1105</v>
      </c>
      <c r="G25" s="12" t="s">
        <v>839</v>
      </c>
      <c r="H25" s="12" t="s">
        <v>1106</v>
      </c>
      <c r="I25" s="12"/>
    </row>
    <row r="26" spans="1:9" ht="45" customHeight="1" x14ac:dyDescent="0.25">
      <c r="A26" s="9" t="s">
        <v>1107</v>
      </c>
      <c r="B26" s="9" t="s">
        <v>1096</v>
      </c>
      <c r="C26" s="9" t="s">
        <v>1108</v>
      </c>
      <c r="D26" s="9" t="s">
        <v>1109</v>
      </c>
      <c r="E26" s="9" t="s">
        <v>1110</v>
      </c>
      <c r="F26" s="9" t="s">
        <v>1111</v>
      </c>
      <c r="G26" s="12" t="s">
        <v>839</v>
      </c>
      <c r="H26" s="12" t="s">
        <v>1112</v>
      </c>
      <c r="I26" s="12"/>
    </row>
    <row r="27" spans="1:9" ht="45" customHeight="1" x14ac:dyDescent="0.25">
      <c r="A27" s="9" t="s">
        <v>1113</v>
      </c>
      <c r="B27" s="9" t="s">
        <v>1096</v>
      </c>
      <c r="C27" s="9" t="s">
        <v>1114</v>
      </c>
      <c r="D27" s="9" t="s">
        <v>1115</v>
      </c>
      <c r="E27" s="9" t="s">
        <v>482</v>
      </c>
      <c r="F27" s="9" t="s">
        <v>1116</v>
      </c>
      <c r="G27" s="12" t="s">
        <v>839</v>
      </c>
      <c r="H27" s="12" t="s">
        <v>1117</v>
      </c>
      <c r="I27" s="12"/>
    </row>
    <row r="28" spans="1:9" ht="45" customHeight="1" x14ac:dyDescent="0.25">
      <c r="A28" s="9" t="s">
        <v>1118</v>
      </c>
      <c r="B28" s="9" t="s">
        <v>1096</v>
      </c>
      <c r="C28" s="9" t="s">
        <v>1119</v>
      </c>
      <c r="D28" s="9" t="s">
        <v>1120</v>
      </c>
      <c r="E28" s="9" t="s">
        <v>1121</v>
      </c>
      <c r="F28" s="9" t="s">
        <v>1122</v>
      </c>
      <c r="G28" s="12" t="s">
        <v>839</v>
      </c>
      <c r="H28" s="12" t="s">
        <v>1123</v>
      </c>
      <c r="I28" s="12"/>
    </row>
    <row r="29" spans="1:9" ht="45" customHeight="1" x14ac:dyDescent="0.25">
      <c r="A29" s="9" t="s">
        <v>1124</v>
      </c>
      <c r="B29" s="9" t="s">
        <v>1096</v>
      </c>
      <c r="C29" s="9" t="s">
        <v>1125</v>
      </c>
      <c r="D29" s="9" t="s">
        <v>1126</v>
      </c>
      <c r="E29" s="9" t="s">
        <v>1127</v>
      </c>
      <c r="F29" s="9" t="s">
        <v>1128</v>
      </c>
      <c r="G29" s="12" t="s">
        <v>839</v>
      </c>
      <c r="H29" s="12" t="s">
        <v>1129</v>
      </c>
      <c r="I29" s="12"/>
    </row>
    <row r="30" spans="1:9" ht="45" customHeight="1" x14ac:dyDescent="0.25">
      <c r="A30" s="9" t="s">
        <v>1130</v>
      </c>
      <c r="B30" s="9" t="s">
        <v>1131</v>
      </c>
      <c r="C30" s="9" t="s">
        <v>1132</v>
      </c>
      <c r="D30" s="9" t="s">
        <v>1133</v>
      </c>
      <c r="E30" s="9" t="s">
        <v>1134</v>
      </c>
      <c r="F30" s="9" t="s">
        <v>1135</v>
      </c>
      <c r="G30" s="12" t="s">
        <v>839</v>
      </c>
      <c r="H30" s="12" t="s">
        <v>1136</v>
      </c>
      <c r="I30" s="12"/>
    </row>
    <row r="31" spans="1:9" ht="45" customHeight="1" x14ac:dyDescent="0.25">
      <c r="A31" s="9" t="s">
        <v>1137</v>
      </c>
      <c r="B31" s="9" t="s">
        <v>1131</v>
      </c>
      <c r="C31" s="9" t="s">
        <v>1138</v>
      </c>
      <c r="D31" s="9" t="s">
        <v>1139</v>
      </c>
      <c r="E31" s="9" t="s">
        <v>1140</v>
      </c>
      <c r="F31" s="9" t="s">
        <v>1141</v>
      </c>
      <c r="G31" s="12" t="s">
        <v>839</v>
      </c>
      <c r="H31" s="12" t="s">
        <v>1142</v>
      </c>
      <c r="I31" s="12"/>
    </row>
    <row r="32" spans="1:9" ht="45" customHeight="1" x14ac:dyDescent="0.25">
      <c r="A32" s="9" t="s">
        <v>1143</v>
      </c>
      <c r="B32" s="9" t="s">
        <v>1131</v>
      </c>
      <c r="C32" s="9" t="s">
        <v>1144</v>
      </c>
      <c r="D32" s="9" t="s">
        <v>1145</v>
      </c>
      <c r="E32" s="9" t="s">
        <v>1146</v>
      </c>
      <c r="F32" s="9" t="s">
        <v>1147</v>
      </c>
      <c r="G32" s="12" t="s">
        <v>839</v>
      </c>
      <c r="H32" s="12" t="s">
        <v>1148</v>
      </c>
      <c r="I32" s="12"/>
    </row>
    <row r="33" spans="1:9" ht="45" customHeight="1" x14ac:dyDescent="0.25">
      <c r="A33" s="9" t="s">
        <v>1149</v>
      </c>
      <c r="B33" s="9" t="s">
        <v>1131</v>
      </c>
      <c r="C33" s="9" t="s">
        <v>1150</v>
      </c>
      <c r="D33" s="9" t="s">
        <v>1151</v>
      </c>
      <c r="E33" s="9" t="s">
        <v>1152</v>
      </c>
      <c r="F33" s="9" t="s">
        <v>1153</v>
      </c>
      <c r="G33" s="12" t="s">
        <v>839</v>
      </c>
      <c r="H33" s="12" t="s">
        <v>1154</v>
      </c>
      <c r="I33" s="12"/>
    </row>
    <row r="34" spans="1:9" ht="45" customHeight="1" x14ac:dyDescent="0.25">
      <c r="A34" s="9" t="s">
        <v>1155</v>
      </c>
      <c r="B34" s="9" t="s">
        <v>1131</v>
      </c>
      <c r="C34" s="9" t="s">
        <v>1156</v>
      </c>
      <c r="D34" s="9" t="s">
        <v>1157</v>
      </c>
      <c r="E34" s="9" t="s">
        <v>1158</v>
      </c>
      <c r="F34" s="9" t="s">
        <v>1159</v>
      </c>
      <c r="G34" s="12" t="s">
        <v>839</v>
      </c>
      <c r="H34" s="12" t="s">
        <v>1160</v>
      </c>
      <c r="I34" s="12"/>
    </row>
    <row r="35" spans="1:9" ht="45" customHeight="1" x14ac:dyDescent="0.25">
      <c r="A35" s="9" t="s">
        <v>1161</v>
      </c>
      <c r="B35" s="9" t="s">
        <v>1162</v>
      </c>
      <c r="C35" s="9" t="s">
        <v>1163</v>
      </c>
      <c r="D35" s="9" t="s">
        <v>1164</v>
      </c>
      <c r="E35" s="9" t="s">
        <v>1165</v>
      </c>
      <c r="F35" s="9" t="s">
        <v>1166</v>
      </c>
      <c r="G35" s="12" t="s">
        <v>839</v>
      </c>
      <c r="H35" s="12" t="s">
        <v>1167</v>
      </c>
      <c r="I35" s="12"/>
    </row>
    <row r="36" spans="1:9" ht="45" customHeight="1" x14ac:dyDescent="0.25">
      <c r="A36" s="9" t="s">
        <v>1168</v>
      </c>
      <c r="B36" s="9" t="s">
        <v>1162</v>
      </c>
      <c r="C36" s="9" t="s">
        <v>1169</v>
      </c>
      <c r="D36" s="9" t="s">
        <v>1170</v>
      </c>
      <c r="E36" s="9" t="s">
        <v>1171</v>
      </c>
      <c r="F36" s="9" t="s">
        <v>1172</v>
      </c>
      <c r="G36" s="12" t="s">
        <v>452</v>
      </c>
      <c r="H36" s="12"/>
      <c r="I36" s="12" t="s">
        <v>1173</v>
      </c>
    </row>
    <row r="37" spans="1:9" ht="45" customHeight="1" x14ac:dyDescent="0.25">
      <c r="A37" s="9" t="s">
        <v>1174</v>
      </c>
      <c r="B37" s="9" t="s">
        <v>1162</v>
      </c>
      <c r="C37" s="9" t="s">
        <v>1175</v>
      </c>
      <c r="D37" s="9" t="s">
        <v>1176</v>
      </c>
      <c r="E37" s="9" t="s">
        <v>564</v>
      </c>
      <c r="F37" s="9" t="s">
        <v>1177</v>
      </c>
      <c r="G37" s="12" t="s">
        <v>839</v>
      </c>
      <c r="H37" s="12" t="s">
        <v>1178</v>
      </c>
      <c r="I37" s="12"/>
    </row>
    <row r="38" spans="1:9" ht="45" customHeight="1" x14ac:dyDescent="0.25">
      <c r="A38" s="9" t="s">
        <v>1179</v>
      </c>
      <c r="B38" s="9" t="s">
        <v>1162</v>
      </c>
      <c r="C38" s="9" t="s">
        <v>1180</v>
      </c>
      <c r="D38" s="9" t="s">
        <v>1181</v>
      </c>
      <c r="E38" s="9" t="s">
        <v>1134</v>
      </c>
      <c r="F38" s="9" t="s">
        <v>1182</v>
      </c>
      <c r="G38" s="12" t="s">
        <v>839</v>
      </c>
      <c r="H38" s="12" t="s">
        <v>1183</v>
      </c>
      <c r="I38" s="12"/>
    </row>
    <row r="39" spans="1:9" ht="45" customHeight="1" x14ac:dyDescent="0.25">
      <c r="A39" s="9" t="s">
        <v>1184</v>
      </c>
      <c r="B39" s="9" t="s">
        <v>1185</v>
      </c>
      <c r="C39" s="9" t="s">
        <v>1186</v>
      </c>
      <c r="D39" s="9" t="s">
        <v>1187</v>
      </c>
      <c r="E39" s="9" t="s">
        <v>452</v>
      </c>
      <c r="F39" s="9" t="s">
        <v>1188</v>
      </c>
      <c r="G39" s="12" t="s">
        <v>452</v>
      </c>
      <c r="H39" s="12"/>
      <c r="I39" s="12" t="s">
        <v>1189</v>
      </c>
    </row>
    <row r="41" spans="1:9" x14ac:dyDescent="0.25">
      <c r="C41" s="16" t="s">
        <v>1190</v>
      </c>
      <c r="D41" s="17">
        <f>(COUNTIF(G5:G39,"Cumple")+0.5*COUNTIF(G5:G39,"Parcial"))/(COUNTA(G5:G39)-COUNTIF(G5:G39,"N/A"))</f>
        <v>0.84848484848484851</v>
      </c>
      <c r="E41" s="18" t="s">
        <v>1191</v>
      </c>
    </row>
  </sheetData>
  <conditionalFormatting sqref="G5:G39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"Bloqueado"</formula>
    </cfRule>
    <cfRule type="cellIs" dxfId="4" priority="4" operator="equal">
      <formula>"No ejecutado"</formula>
    </cfRule>
    <cfRule type="cellIs" dxfId="3" priority="5" operator="equal">
      <formula>"Cumple"</formula>
    </cfRule>
    <cfRule type="cellIs" dxfId="2" priority="6" operator="equal">
      <formula>"No cumple"</formula>
    </cfRule>
    <cfRule type="cellIs" dxfId="1" priority="7" operator="equal">
      <formula>"Parcial"</formula>
    </cfRule>
    <cfRule type="cellIs" dxfId="0" priority="8" operator="equal">
      <formula>"Pendiente"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Listas!$F$2:$F$6</xm:f>
          </x14:formula1>
          <xm:sqref>G5:G39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44"/>
  <sheetViews>
    <sheetView zoomScale="9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0" customWidth="1"/>
    <col min="4" max="4" width="12" customWidth="1"/>
    <col min="5" max="5" width="28" customWidth="1"/>
    <col min="6" max="6" width="50" customWidth="1"/>
    <col min="7" max="7" width="30" customWidth="1"/>
    <col min="8" max="8" width="40" customWidth="1"/>
    <col min="9" max="9" width="22" customWidth="1"/>
  </cols>
  <sheetData>
    <row r="1" spans="1:9" ht="18" x14ac:dyDescent="0.25">
      <c r="A1" s="1" t="s">
        <v>1192</v>
      </c>
    </row>
    <row r="2" spans="1:9" x14ac:dyDescent="0.25">
      <c r="A2" s="2" t="s">
        <v>1193</v>
      </c>
    </row>
    <row r="4" spans="1:9" x14ac:dyDescent="0.25">
      <c r="A4" s="8" t="s">
        <v>1194</v>
      </c>
      <c r="B4" s="8" t="s">
        <v>128</v>
      </c>
      <c r="C4" s="8" t="s">
        <v>1195</v>
      </c>
      <c r="D4" s="8" t="s">
        <v>659</v>
      </c>
      <c r="E4" s="8" t="s">
        <v>1196</v>
      </c>
      <c r="F4" s="8" t="s">
        <v>725</v>
      </c>
      <c r="G4" s="8" t="s">
        <v>966</v>
      </c>
      <c r="H4" s="8" t="s">
        <v>1197</v>
      </c>
      <c r="I4" s="8" t="s">
        <v>833</v>
      </c>
    </row>
    <row r="5" spans="1:9" ht="25.5" x14ac:dyDescent="0.25">
      <c r="A5" s="9">
        <v>1</v>
      </c>
      <c r="B5" s="9" t="s">
        <v>1198</v>
      </c>
      <c r="C5" s="9" t="s">
        <v>1199</v>
      </c>
      <c r="D5" s="9" t="s">
        <v>688</v>
      </c>
      <c r="E5" s="9" t="s">
        <v>1200</v>
      </c>
      <c r="F5" s="9" t="s">
        <v>642</v>
      </c>
      <c r="G5" s="9" t="s">
        <v>1201</v>
      </c>
      <c r="H5" s="9" t="s">
        <v>1202</v>
      </c>
      <c r="I5" s="9" t="s">
        <v>695</v>
      </c>
    </row>
    <row r="6" spans="1:9" ht="25.5" x14ac:dyDescent="0.25">
      <c r="A6" s="9">
        <v>2</v>
      </c>
      <c r="B6" s="9" t="s">
        <v>146</v>
      </c>
      <c r="C6" s="9" t="s">
        <v>1199</v>
      </c>
      <c r="D6" s="9" t="s">
        <v>688</v>
      </c>
      <c r="E6" s="9" t="s">
        <v>1203</v>
      </c>
      <c r="F6" s="9" t="s">
        <v>1204</v>
      </c>
      <c r="G6" s="9" t="s">
        <v>1205</v>
      </c>
      <c r="H6" s="9" t="s">
        <v>1206</v>
      </c>
      <c r="I6" s="9" t="s">
        <v>695</v>
      </c>
    </row>
    <row r="7" spans="1:9" x14ac:dyDescent="0.25">
      <c r="A7" s="9">
        <v>3</v>
      </c>
      <c r="B7" s="9" t="s">
        <v>146</v>
      </c>
      <c r="C7" s="9" t="s">
        <v>1199</v>
      </c>
      <c r="D7" s="9" t="s">
        <v>688</v>
      </c>
      <c r="E7" s="9" t="s">
        <v>1207</v>
      </c>
      <c r="F7" s="9" t="s">
        <v>1208</v>
      </c>
      <c r="G7" s="9" t="s">
        <v>59</v>
      </c>
      <c r="H7" s="9"/>
      <c r="I7" s="9" t="s">
        <v>695</v>
      </c>
    </row>
    <row r="8" spans="1:9" ht="25.5" x14ac:dyDescent="0.25">
      <c r="A8" s="9">
        <v>4</v>
      </c>
      <c r="B8" s="9" t="s">
        <v>146</v>
      </c>
      <c r="C8" s="9" t="s">
        <v>1199</v>
      </c>
      <c r="D8" s="9" t="s">
        <v>688</v>
      </c>
      <c r="E8" s="9" t="s">
        <v>1209</v>
      </c>
      <c r="F8" s="9" t="s">
        <v>1210</v>
      </c>
      <c r="G8" s="9" t="s">
        <v>1211</v>
      </c>
      <c r="H8" s="9" t="s">
        <v>1212</v>
      </c>
      <c r="I8" s="9" t="s">
        <v>695</v>
      </c>
    </row>
    <row r="9" spans="1:9" ht="25.5" x14ac:dyDescent="0.25">
      <c r="A9" s="9">
        <v>5</v>
      </c>
      <c r="B9" s="9" t="s">
        <v>146</v>
      </c>
      <c r="C9" s="9" t="s">
        <v>1199</v>
      </c>
      <c r="D9" s="9" t="s">
        <v>688</v>
      </c>
      <c r="E9" s="9" t="s">
        <v>1213</v>
      </c>
      <c r="F9" s="9" t="s">
        <v>1214</v>
      </c>
      <c r="G9" s="9" t="s">
        <v>1215</v>
      </c>
      <c r="H9" s="9"/>
      <c r="I9" s="9" t="s">
        <v>695</v>
      </c>
    </row>
    <row r="10" spans="1:9" ht="25.5" x14ac:dyDescent="0.25">
      <c r="A10" s="9">
        <v>6</v>
      </c>
      <c r="B10" s="9" t="s">
        <v>146</v>
      </c>
      <c r="C10" s="9" t="s">
        <v>1199</v>
      </c>
      <c r="D10" s="9" t="s">
        <v>688</v>
      </c>
      <c r="E10" s="9" t="s">
        <v>1216</v>
      </c>
      <c r="F10" s="9" t="s">
        <v>1217</v>
      </c>
      <c r="G10" s="9" t="s">
        <v>1218</v>
      </c>
      <c r="H10" s="9" t="s">
        <v>1219</v>
      </c>
      <c r="I10" s="9" t="s">
        <v>695</v>
      </c>
    </row>
    <row r="11" spans="1:9" x14ac:dyDescent="0.25">
      <c r="A11" s="9">
        <v>7</v>
      </c>
      <c r="B11" s="9" t="s">
        <v>146</v>
      </c>
      <c r="C11" s="9" t="s">
        <v>1199</v>
      </c>
      <c r="D11" s="9" t="s">
        <v>688</v>
      </c>
      <c r="E11" s="9" t="s">
        <v>1220</v>
      </c>
      <c r="F11" s="9" t="s">
        <v>1221</v>
      </c>
      <c r="G11" s="9" t="s">
        <v>1222</v>
      </c>
      <c r="H11" s="9" t="s">
        <v>1223</v>
      </c>
      <c r="I11" s="9" t="s">
        <v>695</v>
      </c>
    </row>
    <row r="12" spans="1:9" ht="25.5" x14ac:dyDescent="0.25">
      <c r="A12" s="9">
        <v>8</v>
      </c>
      <c r="B12" s="9" t="s">
        <v>146</v>
      </c>
      <c r="C12" s="9" t="s">
        <v>1199</v>
      </c>
      <c r="D12" s="9" t="s">
        <v>688</v>
      </c>
      <c r="E12" s="9" t="s">
        <v>1224</v>
      </c>
      <c r="F12" s="9" t="s">
        <v>1225</v>
      </c>
      <c r="G12" s="9" t="s">
        <v>60</v>
      </c>
      <c r="H12" s="9" t="s">
        <v>1226</v>
      </c>
      <c r="I12" s="9" t="s">
        <v>695</v>
      </c>
    </row>
    <row r="13" spans="1:9" x14ac:dyDescent="0.25">
      <c r="A13" s="9">
        <v>9</v>
      </c>
      <c r="B13" s="9" t="s">
        <v>146</v>
      </c>
      <c r="C13" s="9" t="s">
        <v>1199</v>
      </c>
      <c r="D13" s="9" t="s">
        <v>688</v>
      </c>
      <c r="E13" s="9" t="s">
        <v>1227</v>
      </c>
      <c r="F13" s="9" t="s">
        <v>1228</v>
      </c>
      <c r="G13" s="9" t="s">
        <v>1229</v>
      </c>
      <c r="H13" s="9" t="s">
        <v>1230</v>
      </c>
      <c r="I13" s="9" t="s">
        <v>695</v>
      </c>
    </row>
    <row r="14" spans="1:9" ht="38.25" x14ac:dyDescent="0.25">
      <c r="A14" s="9">
        <v>10</v>
      </c>
      <c r="B14" s="9" t="s">
        <v>244</v>
      </c>
      <c r="C14" s="9" t="s">
        <v>1199</v>
      </c>
      <c r="D14" s="9" t="s">
        <v>688</v>
      </c>
      <c r="E14" s="9" t="s">
        <v>1231</v>
      </c>
      <c r="F14" s="9" t="s">
        <v>1232</v>
      </c>
      <c r="G14" s="9" t="s">
        <v>1233</v>
      </c>
      <c r="H14" s="9" t="s">
        <v>1234</v>
      </c>
      <c r="I14" s="9" t="s">
        <v>695</v>
      </c>
    </row>
    <row r="15" spans="1:9" ht="25.5" x14ac:dyDescent="0.25">
      <c r="A15" s="9">
        <v>11</v>
      </c>
      <c r="B15" s="9" t="s">
        <v>244</v>
      </c>
      <c r="C15" s="9" t="s">
        <v>1199</v>
      </c>
      <c r="D15" s="9" t="s">
        <v>688</v>
      </c>
      <c r="E15" s="9" t="s">
        <v>1235</v>
      </c>
      <c r="F15" s="9" t="s">
        <v>1236</v>
      </c>
      <c r="G15" s="9" t="s">
        <v>1237</v>
      </c>
      <c r="H15" s="9" t="s">
        <v>1238</v>
      </c>
      <c r="I15" s="9" t="s">
        <v>695</v>
      </c>
    </row>
    <row r="16" spans="1:9" x14ac:dyDescent="0.25">
      <c r="A16" s="9">
        <v>12</v>
      </c>
      <c r="B16" s="9" t="s">
        <v>244</v>
      </c>
      <c r="C16" s="9" t="s">
        <v>1199</v>
      </c>
      <c r="D16" s="9" t="s">
        <v>688</v>
      </c>
      <c r="E16" s="9" t="s">
        <v>1239</v>
      </c>
      <c r="F16" s="9" t="s">
        <v>1240</v>
      </c>
      <c r="G16" s="9" t="s">
        <v>1215</v>
      </c>
      <c r="H16" s="9"/>
      <c r="I16" s="9" t="s">
        <v>695</v>
      </c>
    </row>
    <row r="17" spans="1:9" ht="25.5" x14ac:dyDescent="0.25">
      <c r="A17" s="9">
        <v>13</v>
      </c>
      <c r="B17" s="9" t="s">
        <v>244</v>
      </c>
      <c r="C17" s="9" t="s">
        <v>1199</v>
      </c>
      <c r="D17" s="9" t="s">
        <v>688</v>
      </c>
      <c r="E17" s="9" t="s">
        <v>1241</v>
      </c>
      <c r="F17" s="9" t="s">
        <v>1242</v>
      </c>
      <c r="G17" s="9" t="s">
        <v>1243</v>
      </c>
      <c r="H17" s="9" t="s">
        <v>1244</v>
      </c>
      <c r="I17" s="9" t="s">
        <v>695</v>
      </c>
    </row>
    <row r="18" spans="1:9" ht="25.5" x14ac:dyDescent="0.25">
      <c r="A18" s="9">
        <v>14</v>
      </c>
      <c r="B18" s="9" t="s">
        <v>146</v>
      </c>
      <c r="C18" s="9" t="s">
        <v>1245</v>
      </c>
      <c r="D18" s="9" t="s">
        <v>1246</v>
      </c>
      <c r="E18" s="9" t="s">
        <v>1247</v>
      </c>
      <c r="F18" s="9" t="s">
        <v>1248</v>
      </c>
      <c r="G18" s="9" t="s">
        <v>1249</v>
      </c>
      <c r="H18" s="9" t="s">
        <v>1250</v>
      </c>
      <c r="I18" s="9" t="s">
        <v>695</v>
      </c>
    </row>
    <row r="19" spans="1:9" x14ac:dyDescent="0.25">
      <c r="A19" s="9" t="str">
        <f t="shared" ref="A19:A44" si="0">IF(B19="","",ROW()-4)</f>
        <v/>
      </c>
      <c r="B19" s="12"/>
      <c r="C19" s="12"/>
      <c r="D19" s="12"/>
      <c r="E19" s="12"/>
      <c r="F19" s="12"/>
      <c r="G19" s="12"/>
      <c r="H19" s="12"/>
      <c r="I19" s="12"/>
    </row>
    <row r="20" spans="1:9" x14ac:dyDescent="0.25">
      <c r="A20" s="9" t="str">
        <f t="shared" si="0"/>
        <v/>
      </c>
      <c r="B20" s="12"/>
      <c r="C20" s="12"/>
      <c r="D20" s="12"/>
      <c r="E20" s="12"/>
      <c r="F20" s="12"/>
      <c r="G20" s="12"/>
      <c r="H20" s="12"/>
      <c r="I20" s="12"/>
    </row>
    <row r="21" spans="1:9" x14ac:dyDescent="0.25">
      <c r="A21" s="9" t="str">
        <f t="shared" si="0"/>
        <v/>
      </c>
      <c r="B21" s="12"/>
      <c r="C21" s="12"/>
      <c r="D21" s="12"/>
      <c r="E21" s="12"/>
      <c r="F21" s="12"/>
      <c r="G21" s="12"/>
      <c r="H21" s="12"/>
      <c r="I21" s="12"/>
    </row>
    <row r="22" spans="1:9" x14ac:dyDescent="0.25">
      <c r="A22" s="9" t="str">
        <f t="shared" si="0"/>
        <v/>
      </c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9" t="str">
        <f t="shared" si="0"/>
        <v/>
      </c>
      <c r="B23" s="12"/>
      <c r="C23" s="12"/>
      <c r="D23" s="12"/>
      <c r="E23" s="12"/>
      <c r="F23" s="12"/>
      <c r="G23" s="12"/>
      <c r="H23" s="12"/>
      <c r="I23" s="12"/>
    </row>
    <row r="24" spans="1:9" x14ac:dyDescent="0.25">
      <c r="A24" s="9" t="str">
        <f t="shared" si="0"/>
        <v/>
      </c>
      <c r="B24" s="12"/>
      <c r="C24" s="12"/>
      <c r="D24" s="12"/>
      <c r="E24" s="12"/>
      <c r="F24" s="12"/>
      <c r="G24" s="12"/>
      <c r="H24" s="12"/>
      <c r="I24" s="12"/>
    </row>
    <row r="25" spans="1:9" x14ac:dyDescent="0.25">
      <c r="A25" s="9" t="str">
        <f t="shared" si="0"/>
        <v/>
      </c>
      <c r="B25" s="12"/>
      <c r="C25" s="12"/>
      <c r="D25" s="12"/>
      <c r="E25" s="12"/>
      <c r="F25" s="12"/>
      <c r="G25" s="12"/>
      <c r="H25" s="12"/>
      <c r="I25" s="12"/>
    </row>
    <row r="26" spans="1:9" x14ac:dyDescent="0.25">
      <c r="A26" s="9" t="str">
        <f t="shared" si="0"/>
        <v/>
      </c>
      <c r="B26" s="12"/>
      <c r="C26" s="12"/>
      <c r="D26" s="12"/>
      <c r="E26" s="12"/>
      <c r="F26" s="12"/>
      <c r="G26" s="12"/>
      <c r="H26" s="12"/>
      <c r="I26" s="12"/>
    </row>
    <row r="27" spans="1:9" x14ac:dyDescent="0.25">
      <c r="A27" s="9" t="str">
        <f t="shared" si="0"/>
        <v/>
      </c>
      <c r="B27" s="12"/>
      <c r="C27" s="12"/>
      <c r="D27" s="12"/>
      <c r="E27" s="12"/>
      <c r="F27" s="12"/>
      <c r="G27" s="12"/>
      <c r="H27" s="12"/>
      <c r="I27" s="12"/>
    </row>
    <row r="28" spans="1:9" x14ac:dyDescent="0.25">
      <c r="A28" s="9" t="str">
        <f t="shared" si="0"/>
        <v/>
      </c>
      <c r="B28" s="12"/>
      <c r="C28" s="12"/>
      <c r="D28" s="12"/>
      <c r="E28" s="12"/>
      <c r="F28" s="12"/>
      <c r="G28" s="12"/>
      <c r="H28" s="12"/>
      <c r="I28" s="12"/>
    </row>
    <row r="29" spans="1:9" x14ac:dyDescent="0.25">
      <c r="A29" s="9" t="str">
        <f t="shared" si="0"/>
        <v/>
      </c>
      <c r="B29" s="12"/>
      <c r="C29" s="12"/>
      <c r="D29" s="12"/>
      <c r="E29" s="12"/>
      <c r="F29" s="12"/>
      <c r="G29" s="12"/>
      <c r="H29" s="12"/>
      <c r="I29" s="12"/>
    </row>
    <row r="30" spans="1:9" x14ac:dyDescent="0.25">
      <c r="A30" s="9" t="str">
        <f t="shared" si="0"/>
        <v/>
      </c>
      <c r="B30" s="12"/>
      <c r="C30" s="12"/>
      <c r="D30" s="12"/>
      <c r="E30" s="12"/>
      <c r="F30" s="12"/>
      <c r="G30" s="12"/>
      <c r="H30" s="12"/>
      <c r="I30" s="12"/>
    </row>
    <row r="31" spans="1:9" x14ac:dyDescent="0.25">
      <c r="A31" s="9" t="str">
        <f t="shared" si="0"/>
        <v/>
      </c>
      <c r="B31" s="12"/>
      <c r="C31" s="12"/>
      <c r="D31" s="12"/>
      <c r="E31" s="12"/>
      <c r="F31" s="12"/>
      <c r="G31" s="12"/>
      <c r="H31" s="12"/>
      <c r="I31" s="12"/>
    </row>
    <row r="32" spans="1:9" x14ac:dyDescent="0.25">
      <c r="A32" s="9" t="str">
        <f t="shared" si="0"/>
        <v/>
      </c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9" t="str">
        <f t="shared" si="0"/>
        <v/>
      </c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9" t="str">
        <f t="shared" si="0"/>
        <v/>
      </c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9" t="str">
        <f t="shared" si="0"/>
        <v/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9" t="str">
        <f t="shared" si="0"/>
        <v/>
      </c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9" t="str">
        <f t="shared" si="0"/>
        <v/>
      </c>
      <c r="B37" s="12"/>
      <c r="C37" s="12"/>
      <c r="D37" s="12"/>
      <c r="E37" s="12"/>
      <c r="F37" s="12"/>
      <c r="G37" s="12"/>
      <c r="H37" s="12"/>
      <c r="I37" s="12"/>
    </row>
    <row r="38" spans="1:9" x14ac:dyDescent="0.25">
      <c r="A38" s="9" t="str">
        <f t="shared" si="0"/>
        <v/>
      </c>
      <c r="B38" s="12"/>
      <c r="C38" s="12"/>
      <c r="D38" s="12"/>
      <c r="E38" s="12"/>
      <c r="F38" s="12"/>
      <c r="G38" s="12"/>
      <c r="H38" s="12"/>
      <c r="I38" s="12"/>
    </row>
    <row r="39" spans="1:9" x14ac:dyDescent="0.25">
      <c r="A39" s="9" t="str">
        <f t="shared" si="0"/>
        <v/>
      </c>
      <c r="B39" s="12"/>
      <c r="C39" s="12"/>
      <c r="D39" s="12"/>
      <c r="E39" s="12"/>
      <c r="F39" s="12"/>
      <c r="G39" s="12"/>
      <c r="H39" s="12"/>
      <c r="I39" s="12"/>
    </row>
    <row r="40" spans="1:9" x14ac:dyDescent="0.25">
      <c r="A40" s="9" t="str">
        <f t="shared" si="0"/>
        <v/>
      </c>
      <c r="B40" s="12"/>
      <c r="C40" s="12"/>
      <c r="D40" s="12"/>
      <c r="E40" s="12"/>
      <c r="F40" s="12"/>
      <c r="G40" s="12"/>
      <c r="H40" s="12"/>
      <c r="I40" s="12"/>
    </row>
    <row r="41" spans="1:9" x14ac:dyDescent="0.25">
      <c r="A41" s="9" t="str">
        <f t="shared" si="0"/>
        <v/>
      </c>
      <c r="B41" s="12"/>
      <c r="C41" s="12"/>
      <c r="D41" s="12"/>
      <c r="E41" s="12"/>
      <c r="F41" s="12"/>
      <c r="G41" s="12"/>
      <c r="H41" s="12"/>
      <c r="I41" s="12"/>
    </row>
    <row r="42" spans="1:9" x14ac:dyDescent="0.25">
      <c r="A42" s="9" t="str">
        <f t="shared" si="0"/>
        <v/>
      </c>
      <c r="B42" s="12"/>
      <c r="C42" s="12"/>
      <c r="D42" s="12"/>
      <c r="E42" s="12"/>
      <c r="F42" s="12"/>
      <c r="G42" s="12"/>
      <c r="H42" s="12"/>
      <c r="I42" s="12"/>
    </row>
    <row r="43" spans="1:9" x14ac:dyDescent="0.25">
      <c r="A43" s="9" t="str">
        <f t="shared" si="0"/>
        <v/>
      </c>
      <c r="B43" s="12"/>
      <c r="C43" s="12"/>
      <c r="D43" s="12"/>
      <c r="E43" s="12"/>
      <c r="F43" s="12"/>
      <c r="G43" s="12"/>
      <c r="H43" s="12"/>
      <c r="I43" s="12"/>
    </row>
    <row r="44" spans="1:9" x14ac:dyDescent="0.25">
      <c r="A44" s="9" t="str">
        <f t="shared" si="0"/>
        <v/>
      </c>
      <c r="B44" s="12"/>
      <c r="C44" s="12"/>
      <c r="D44" s="12"/>
      <c r="E44" s="12"/>
      <c r="F44" s="12"/>
      <c r="G44" s="12"/>
      <c r="H44" s="12"/>
      <c r="I44" s="12"/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"/>
  <sheetViews>
    <sheetView zoomScale="90" workbookViewId="0"/>
  </sheetViews>
  <sheetFormatPr baseColWidth="10" defaultColWidth="9.140625" defaultRowHeight="15" x14ac:dyDescent="0.25"/>
  <sheetData>
    <row r="1" spans="1:7" x14ac:dyDescent="0.25">
      <c r="A1" s="16" t="s">
        <v>1251</v>
      </c>
      <c r="B1" s="16" t="s">
        <v>662</v>
      </c>
      <c r="C1" s="16" t="s">
        <v>121</v>
      </c>
      <c r="D1" s="16" t="s">
        <v>1252</v>
      </c>
      <c r="E1" s="16" t="s">
        <v>1253</v>
      </c>
      <c r="F1" s="16" t="s">
        <v>1254</v>
      </c>
      <c r="G1" s="16" t="s">
        <v>833</v>
      </c>
    </row>
    <row r="2" spans="1:7" x14ac:dyDescent="0.25">
      <c r="A2" t="s">
        <v>59</v>
      </c>
      <c r="B2" t="s">
        <v>88</v>
      </c>
      <c r="C2" t="s">
        <v>702</v>
      </c>
      <c r="D2" t="s">
        <v>676</v>
      </c>
      <c r="E2" t="s">
        <v>839</v>
      </c>
      <c r="F2" t="s">
        <v>839</v>
      </c>
      <c r="G2" t="s">
        <v>695</v>
      </c>
    </row>
    <row r="3" spans="1:7" x14ac:dyDescent="0.25">
      <c r="A3" t="s">
        <v>60</v>
      </c>
      <c r="B3" t="s">
        <v>89</v>
      </c>
      <c r="C3" t="s">
        <v>685</v>
      </c>
      <c r="D3" t="s">
        <v>1255</v>
      </c>
      <c r="E3" t="s">
        <v>891</v>
      </c>
      <c r="F3" t="s">
        <v>891</v>
      </c>
      <c r="G3" t="s">
        <v>677</v>
      </c>
    </row>
    <row r="4" spans="1:7" x14ac:dyDescent="0.25">
      <c r="A4" t="s">
        <v>1256</v>
      </c>
      <c r="B4" t="s">
        <v>90</v>
      </c>
      <c r="C4" t="s">
        <v>674</v>
      </c>
      <c r="D4" t="s">
        <v>1257</v>
      </c>
      <c r="E4" t="s">
        <v>1258</v>
      </c>
      <c r="F4" t="s">
        <v>1258</v>
      </c>
      <c r="G4" t="s">
        <v>704</v>
      </c>
    </row>
    <row r="5" spans="1:7" x14ac:dyDescent="0.25">
      <c r="A5" t="s">
        <v>150</v>
      </c>
      <c r="B5" t="s">
        <v>91</v>
      </c>
      <c r="C5" t="s">
        <v>712</v>
      </c>
      <c r="D5" t="s">
        <v>694</v>
      </c>
      <c r="E5" t="s">
        <v>954</v>
      </c>
      <c r="F5" t="s">
        <v>954</v>
      </c>
    </row>
    <row r="6" spans="1:7" x14ac:dyDescent="0.25">
      <c r="A6" t="s">
        <v>452</v>
      </c>
      <c r="D6" t="s">
        <v>1259</v>
      </c>
      <c r="F6" t="s">
        <v>452</v>
      </c>
    </row>
    <row r="7" spans="1:7" x14ac:dyDescent="0.25">
      <c r="D7" t="s">
        <v>1260</v>
      </c>
    </row>
    <row r="8" spans="1:7" x14ac:dyDescent="0.25">
      <c r="D8" t="s">
        <v>1261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Resumen y métricas</vt:lpstr>
      <vt:lpstr>Casos de prueba</vt:lpstr>
      <vt:lpstr>Defectos</vt:lpstr>
      <vt:lpstr>Trazabilidad</vt:lpstr>
      <vt:lpstr>QA Proceso</vt:lpstr>
      <vt:lpstr>QC Producto</vt:lpstr>
      <vt:lpstr>Bitácora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Ortiz</cp:lastModifiedBy>
  <dcterms:created xsi:type="dcterms:W3CDTF">2026-10-27T18:28:11Z</dcterms:created>
  <dcterms:modified xsi:type="dcterms:W3CDTF">2026-10-27T18:28:14Z</dcterms:modified>
</cp:coreProperties>
</file>