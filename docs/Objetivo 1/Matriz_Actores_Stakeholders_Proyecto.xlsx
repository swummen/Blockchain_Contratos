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sofia\Downloads\Archivos tesis\objetivo 1\"/>
    </mc:Choice>
  </mc:AlternateContent>
  <xr:revisionPtr revIDLastSave="0" documentId="8_{394FD6EB-4095-4D72-8F99-1946307D9EA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atriz de Actores" sheetId="1" r:id="rId1"/>
    <sheet name="Análisis de stakeholder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2" i="1" l="1"/>
  <c r="H12" i="1"/>
  <c r="E16" i="1" s="1"/>
  <c r="G12" i="1"/>
  <c r="I11" i="1"/>
  <c r="I10" i="1"/>
  <c r="I9" i="1"/>
  <c r="I8" i="1"/>
  <c r="I7" i="1"/>
  <c r="I6" i="1"/>
  <c r="E17" i="1" l="1"/>
  <c r="E15" i="1"/>
</calcChain>
</file>

<file path=xl/sharedStrings.xml><?xml version="1.0" encoding="utf-8"?>
<sst xmlns="http://schemas.openxmlformats.org/spreadsheetml/2006/main" count="130" uniqueCount="104">
  <si>
    <t>MATRIZ DE ACTORES (STAKEHOLDERS)</t>
  </si>
  <si>
    <t xml:space="preserve"> KPI-1.1 (Cobertura de requerimientos documentados en el SRS). Construida a partir de la estructura real del SRS v2.0 (55 RF + 30 RNF = 85 requerimientos). Cada requerimiento se asigna a un único actor, y los interesados que no operan el sistema (cliente, tutores, equipo) se analizan en la hoja "Análisis de stakeholders".</t>
  </si>
  <si>
    <t>N°</t>
  </si>
  <si>
    <t>Actor / Stakeholder</t>
  </si>
  <si>
    <t>Rol frente al sistema</t>
  </si>
  <si>
    <t>Necesidad u objetivo principal</t>
  </si>
  <si>
    <t>RF asociados (SRS v2.0)</t>
  </si>
  <si>
    <t>RNF asociados (SRS v2.0)</t>
  </si>
  <si>
    <t>N° de
RF</t>
  </si>
  <si>
    <t>N° de
RNF</t>
  </si>
  <si>
    <t>Total
requerim.</t>
  </si>
  <si>
    <t>Estado de
aprobación (tutor)</t>
  </si>
  <si>
    <t>Fecha de
aprobación</t>
  </si>
  <si>
    <t>Todos los usuarios
autenticados</t>
  </si>
  <si>
    <t>Transversal a los
3 roles del sistema</t>
  </si>
  <si>
    <t>Acceder al sistema de forma segura mediante credenciales y un segundo factor de verificación, con el rol asignado automáticamente desde su cuenta. Gestionar su propia contraseña, aceptar la política de tratamiento de datos personales y contar con una experiencia de uso clara, rápida y disponible.</t>
  </si>
  <si>
    <t>RF-001 a RF-007
(autenticación y acceso)
RF-052, RF-053
(gestión de credenciales)
RF-054, RF-055
(seguridad de acceso y
protección de datos)</t>
  </si>
  <si>
    <t>RNF-001 a RNF-003, RNF-007
(seguridad de acceso)
RNF-009, RNF-012, RNF-025
(respuesta, disponibilidad y
compatibilidad web)
RNF-015 a RNF-018
(usabilidad)</t>
  </si>
  <si>
    <t>Pendiente de aprobación</t>
  </si>
  <si>
    <t>—</t>
  </si>
  <si>
    <t>Empleado
(firmante)</t>
  </si>
  <si>
    <t>Carga y consulta
de sus documentos</t>
  </si>
  <si>
    <t>Registrar contratos laborales y NDA en PDF, obtener la huella criptográfica de cada documento, confirmar su registro en blockchain y consultar el estado y la trazabilidad de los documentos que ha cargado.</t>
  </si>
  <si>
    <t>RF-008 a RF-022</t>
  </si>
  <si>
    <t>RNF-023, RNF-024
(formato PDF y tamaño
máximo del archivo)</t>
  </si>
  <si>
    <t>Verificador</t>
  </si>
  <si>
    <t>Auditoría de integridad
documental</t>
  </si>
  <si>
    <t>Seleccionar un documento registrado, cargar la versión a comparar, generar y comparar huellas criptográficas, y consultar el resultado de la verificación y la trazabilidad general de todos los documentos del sistema.</t>
  </si>
  <si>
    <t>RF-023 a RF-040</t>
  </si>
  <si>
    <t>RNF-010, RNF-011, RNF-014
(rendimiento y confiabilidad
de la verificación,
procesamiento criptográfico)</t>
  </si>
  <si>
    <t>Administrador</t>
  </si>
  <si>
    <t>Gobierno del sistema
y de los usuarios</t>
  </si>
  <si>
    <t>Supervisar el estado consolidado de los documentos registrados, gestionar el ciclo de vida de los usuarios (creación, edición, desactivación lógica) y consultar la trazabilidad administrativa completa.</t>
  </si>
  <si>
    <t>RF-041 a RF-051</t>
  </si>
  <si>
    <t>RNF-006
(trazabilidad de las
operaciones)</t>
  </si>
  <si>
    <t>Actor normativo
(marco legal y de
seguridad)</t>
  </si>
  <si>
    <t>No opera el sistema;
impone restricciones
de diseño</t>
  </si>
  <si>
    <t>Representa las exigencias derivadas de la Ley 527/1999, el Decreto 2364/2012, la Ley 1581/2012 y los controles A.8.24/A.8.11 de ISO/IEC 27001:2022 que el sistema debe satisfacer independientemente del rol que opere: integridad de la evidencia, protección de datos personales y trazabilidad auditable.</t>
  </si>
  <si>
    <t>No aporta RF propios.
(RF-055 tiene respaldo
normativo directo y se
cuenta en el actor 1)</t>
  </si>
  <si>
    <t>RNF-004, RNF-005, RNF-008,
RNF-013, RNF-026, RNF-027,
RNF-030 (respaldo normativo
directo - ver Matriz de
Trazabilidad Normativa)</t>
  </si>
  <si>
    <t>Equipo de desarrollo
y evaluación</t>
  </si>
  <si>
    <t>Construye, despliega y
evalúa el MVP</t>
  </si>
  <si>
    <t>Contar con una arquitectura modular, contenerizada y escalable que integre Hyperledger Fabric, y con un alcance de validación y evaluación acotado y verificable.</t>
  </si>
  <si>
    <t>No aporta RF propios.</t>
  </si>
  <si>
    <t>RNF-019 a RNF-022
(arquitectura, integración con
blockchain, contenerización,
escalabilidad)
RNF-028, RNF-029
(validación funcional y
alcance de evaluación)</t>
  </si>
  <si>
    <t>TOTAL</t>
  </si>
  <si>
    <t>RESUMEN Y RECONCILIACIÓN CON KPI-1.1</t>
  </si>
  <si>
    <t>Total RF (transversal + empleado + verificador + administrador)</t>
  </si>
  <si>
    <t>Total RNF (distribuidos entre los 6 actores, sin doble conteo)</t>
  </si>
  <si>
    <t>Total de requerimientos en el universo de medición</t>
  </si>
  <si>
    <t>Nota: esta matriz aún no ha sido revisada por la tutora. Una vez aprobada, se actualizan las columnas "Estado de aprobación" y "Fecha de aprobación" y se registra la fecha en el acta correspondiente, tal como exige la fuente de datos de KPI-1.1 ("Matriz de Stakeholders aprobada por tutor (S2)").</t>
  </si>
  <si>
    <t>Fuente: Elaborado por las autoras a partir del documento SRS v2.0 - Requerimientos del proyecto.</t>
  </si>
  <si>
    <t>ANÁLISIS DE STAKEHOLDERS</t>
  </si>
  <si>
    <t>Complementa la matriz de actores con todos los interesados del proyecto, incluidos los que no operan el sistema. Los niveles de interés e influencia son una valoración inicial de las autoras, sujeta a validación con la tutora.</t>
  </si>
  <si>
    <t>Stakeholder</t>
  </si>
  <si>
    <t>Tipo</t>
  </si>
  <si>
    <t>Rol en el proyecto</t>
  </si>
  <si>
    <t>Expectativas e intereses</t>
  </si>
  <si>
    <t>Interés</t>
  </si>
  <si>
    <t>Influencia</t>
  </si>
  <si>
    <t>Estrategia de gestión</t>
  </si>
  <si>
    <t>Fuente de elicitación / evidencia</t>
  </si>
  <si>
    <t>Propietaria de la empresa</t>
  </si>
  <si>
    <t>Cliente / usuaria de negocio</t>
  </si>
  <si>
    <t>Representa la necesidad real del proceso de contratación laboral y valida los requerimientos.</t>
  </si>
  <si>
    <t>Reducir el riesgo de alteración de contratos y NDA, y contar con evidencia verificable y trazable de su integridad, sin complicar la operación.</t>
  </si>
  <si>
    <t>Alto</t>
  </si>
  <si>
    <t>Gestionar de cerca: entrevista de elicitación y validación de requerimientos y de la interfaz.</t>
  </si>
  <si>
    <t>Entrevista semiestructurada (guion de entrevista).</t>
  </si>
  <si>
    <t>Empleados (firmantes)</t>
  </si>
  <si>
    <t>Usuarios finales</t>
  </si>
  <si>
    <t>Cargan y consultan sus documentos (rol Empleado).</t>
  </si>
  <si>
    <t>Registrar documentos de forma simple, confirmar que quedaron registrados y consultar su estado y trazabilidad.</t>
  </si>
  <si>
    <t>Medio</t>
  </si>
  <si>
    <t>Mantener informados y consultar: prototipo y pruebas de aceptación.</t>
  </si>
  <si>
    <t>SRS v2.0 (RF-008 a RF-022); entrevista con la propietaria.</t>
  </si>
  <si>
    <t>Verificadores</t>
  </si>
  <si>
    <t>Verifican la integridad de los documentos (rol Verificador).</t>
  </si>
  <si>
    <t>Detectar de forma clara y rápida si un documento fue alterado, con evidencia (huella registrada vs. huella actual).</t>
  </si>
  <si>
    <t>SRS v2.0 (RF-023 a RF-040); entrevista con la propietaria.</t>
  </si>
  <si>
    <t>Administradores del sistema</t>
  </si>
  <si>
    <t>Gestionan usuarios y supervisan el estado documental (rol Administrador).</t>
  </si>
  <si>
    <t>Controlar quién accede al sistema y tener visibilidad consolidada de documentos y trazabilidad.</t>
  </si>
  <si>
    <t>SRS v2.0 (RF-041 a RF-051); entrevista con la propietaria.</t>
  </si>
  <si>
    <t>Director y codirectora del trabajo de grado</t>
  </si>
  <si>
    <t>Académico / aprobador</t>
  </si>
  <si>
    <t>Revisan y aprueban los entregables y los dominios de diseño.</t>
  </si>
  <si>
    <t>Cumplimiento de objetivos, indicadores y rigor metodológico y técnico del MVP.</t>
  </si>
  <si>
    <t>Gestionar de cerca: sesiones de revisión y registro de aprobaciones.</t>
  </si>
  <si>
    <t>Actas y evidencias de revisión (aprobación de los 4 dominios de diseño antes de S7).</t>
  </si>
  <si>
    <t>Autoras del proyecto</t>
  </si>
  <si>
    <t>Equipo de desarrollo</t>
  </si>
  <si>
    <t>Elicitan, diseñan, desarrollan y evalúan el MVP.</t>
  </si>
  <si>
    <t>Entregar un MVP funcional que cumpla los indicadores propuestos dentro del cronograma.</t>
  </si>
  <si>
    <t>Coordinar internamente: seguimiento por sprint y backlog.</t>
  </si>
  <si>
    <t>Propuesta de trabajo de grado y backlog del MVP.</t>
  </si>
  <si>
    <t>Marco normativo y de seguridad</t>
  </si>
  <si>
    <t>Regulador / referencia</t>
  </si>
  <si>
    <t>Impone restricciones de diseño (no participa en el proyecto).</t>
  </si>
  <si>
    <t>Cumplimiento de la Ley 527/1999, el Decreto 2364/2012, la Ley 1581/2012 y los controles A.8.24/A.8.11 de ISO/IEC 27001:2022 como criterio de diseño.</t>
  </si>
  <si>
    <t>Bajo</t>
  </si>
  <si>
    <t>Monitorear y cumplir: trazar cada disposición a un requerimiento.</t>
  </si>
  <si>
    <t>Matriz de trazabilidad normativa.</t>
  </si>
  <si>
    <t>Fuente: Elaborado por las autoras a partir de la propuesta del trabajo de grado, el guion de entrevista y el documento SRS v2.0.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</si>
</sst>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2"/>
      <color rgb="FF6A2C91"/>
      <name val="Times New Roman"/>
      <charset val="1"/>
    </font>
    <font>
      <sz val="12"/>
      <name val="Times New Roman"/>
      <charset val="1"/>
    </font>
    <font>
      <b/>
      <sz val="12"/>
      <color rgb="FFFFFFFF"/>
      <name val="Times New Roman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6A2C91"/>
        <bgColor rgb="FF8E44AD"/>
      </patternFill>
    </fill>
    <fill>
      <patternFill patternType="solid">
        <fgColor rgb="FFFFF2CC"/>
        <bgColor rgb="FFFFFFFF"/>
      </patternFill>
    </fill>
    <fill>
      <patternFill patternType="solid">
        <fgColor rgb="FF8E44AD"/>
        <bgColor rgb="FF6A2C9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E44AD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6A2C91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19"/>
  <sheetViews>
    <sheetView showGridLines="0" tabSelected="1" zoomScaleNormal="100" workbookViewId="0">
      <pane ySplit="5" topLeftCell="A8" activePane="bottomLeft" state="frozen"/>
      <selection pane="bottomLeft" activeCell="A3" sqref="A3:K3"/>
    </sheetView>
  </sheetViews>
  <sheetFormatPr defaultColWidth="8.7109375" defaultRowHeight="14.45"/>
  <cols>
    <col min="1" max="1" width="5" customWidth="1"/>
    <col min="2" max="3" width="22" customWidth="1"/>
    <col min="4" max="4" width="52" customWidth="1"/>
    <col min="5" max="5" width="30" customWidth="1"/>
    <col min="6" max="6" width="34" customWidth="1"/>
    <col min="7" max="8" width="10" customWidth="1"/>
    <col min="9" max="9" width="12" customWidth="1"/>
    <col min="10" max="10" width="17" customWidth="1"/>
    <col min="11" max="11" width="15" customWidth="1"/>
  </cols>
  <sheetData>
    <row r="2" spans="1:11" ht="21" customHeight="1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54" customHeight="1">
      <c r="A3" s="12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</row>
    <row r="5" spans="1:11" ht="48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</row>
    <row r="6" spans="1:11" ht="114" customHeight="1">
      <c r="A6" s="5">
        <v>1</v>
      </c>
      <c r="B6" s="5" t="s">
        <v>13</v>
      </c>
      <c r="C6" s="6" t="s">
        <v>14</v>
      </c>
      <c r="D6" s="6" t="s">
        <v>15</v>
      </c>
      <c r="E6" s="6" t="s">
        <v>16</v>
      </c>
      <c r="F6" s="6" t="s">
        <v>17</v>
      </c>
      <c r="G6" s="5">
        <v>11</v>
      </c>
      <c r="H6" s="5">
        <v>11</v>
      </c>
      <c r="I6" s="5">
        <f t="shared" ref="I6:I11" si="0">G6+H6</f>
        <v>22</v>
      </c>
      <c r="J6" s="7" t="s">
        <v>18</v>
      </c>
      <c r="K6" s="5" t="s">
        <v>19</v>
      </c>
    </row>
    <row r="7" spans="1:11" ht="67.5" customHeight="1">
      <c r="A7" s="5">
        <v>2</v>
      </c>
      <c r="B7" s="5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5">
        <v>15</v>
      </c>
      <c r="H7" s="5">
        <v>2</v>
      </c>
      <c r="I7" s="5">
        <f t="shared" si="0"/>
        <v>17</v>
      </c>
      <c r="J7" s="7" t="s">
        <v>18</v>
      </c>
      <c r="K7" s="5" t="s">
        <v>19</v>
      </c>
    </row>
    <row r="8" spans="1:11" ht="67.5" customHeight="1">
      <c r="A8" s="5">
        <v>3</v>
      </c>
      <c r="B8" s="5" t="s">
        <v>25</v>
      </c>
      <c r="C8" s="6" t="s">
        <v>26</v>
      </c>
      <c r="D8" s="6" t="s">
        <v>27</v>
      </c>
      <c r="E8" s="6" t="s">
        <v>28</v>
      </c>
      <c r="F8" s="6" t="s">
        <v>29</v>
      </c>
      <c r="G8" s="5">
        <v>18</v>
      </c>
      <c r="H8" s="5">
        <v>3</v>
      </c>
      <c r="I8" s="5">
        <f t="shared" si="0"/>
        <v>21</v>
      </c>
      <c r="J8" s="7" t="s">
        <v>18</v>
      </c>
      <c r="K8" s="5" t="s">
        <v>19</v>
      </c>
    </row>
    <row r="9" spans="1:11" ht="67.5" customHeight="1">
      <c r="A9" s="5">
        <v>4</v>
      </c>
      <c r="B9" s="5" t="s">
        <v>30</v>
      </c>
      <c r="C9" s="6" t="s">
        <v>31</v>
      </c>
      <c r="D9" s="6" t="s">
        <v>32</v>
      </c>
      <c r="E9" s="6" t="s">
        <v>33</v>
      </c>
      <c r="F9" s="6" t="s">
        <v>34</v>
      </c>
      <c r="G9" s="5">
        <v>11</v>
      </c>
      <c r="H9" s="5">
        <v>1</v>
      </c>
      <c r="I9" s="5">
        <f t="shared" si="0"/>
        <v>12</v>
      </c>
      <c r="J9" s="7" t="s">
        <v>18</v>
      </c>
      <c r="K9" s="5" t="s">
        <v>19</v>
      </c>
    </row>
    <row r="10" spans="1:11" ht="99" customHeight="1">
      <c r="A10" s="5">
        <v>5</v>
      </c>
      <c r="B10" s="5" t="s">
        <v>35</v>
      </c>
      <c r="C10" s="6" t="s">
        <v>36</v>
      </c>
      <c r="D10" s="6" t="s">
        <v>37</v>
      </c>
      <c r="E10" s="6" t="s">
        <v>38</v>
      </c>
      <c r="F10" s="6" t="s">
        <v>39</v>
      </c>
      <c r="G10" s="5">
        <v>0</v>
      </c>
      <c r="H10" s="5">
        <v>7</v>
      </c>
      <c r="I10" s="5">
        <f t="shared" si="0"/>
        <v>7</v>
      </c>
      <c r="J10" s="7" t="s">
        <v>18</v>
      </c>
      <c r="K10" s="5" t="s">
        <v>19</v>
      </c>
    </row>
    <row r="11" spans="1:11" ht="114" customHeight="1">
      <c r="A11" s="5">
        <v>6</v>
      </c>
      <c r="B11" s="5" t="s">
        <v>40</v>
      </c>
      <c r="C11" s="6" t="s">
        <v>41</v>
      </c>
      <c r="D11" s="6" t="s">
        <v>42</v>
      </c>
      <c r="E11" s="6" t="s">
        <v>43</v>
      </c>
      <c r="F11" s="6" t="s">
        <v>44</v>
      </c>
      <c r="G11" s="5">
        <v>0</v>
      </c>
      <c r="H11" s="5">
        <v>6</v>
      </c>
      <c r="I11" s="5">
        <f t="shared" si="0"/>
        <v>6</v>
      </c>
      <c r="J11" s="7" t="s">
        <v>18</v>
      </c>
      <c r="K11" s="5" t="s">
        <v>19</v>
      </c>
    </row>
    <row r="12" spans="1:11" ht="21" customHeight="1">
      <c r="A12" s="13" t="s">
        <v>45</v>
      </c>
      <c r="B12" s="13"/>
      <c r="C12" s="13"/>
      <c r="D12" s="13"/>
      <c r="E12" s="13"/>
      <c r="F12" s="13"/>
      <c r="G12" s="8">
        <f>SUM(G6:G11)</f>
        <v>55</v>
      </c>
      <c r="H12" s="8">
        <f>SUM(H6:H11)</f>
        <v>30</v>
      </c>
      <c r="I12" s="8">
        <f>SUM(I6:I11)</f>
        <v>85</v>
      </c>
      <c r="J12" s="6"/>
      <c r="K12" s="6"/>
    </row>
    <row r="14" spans="1:11" ht="21" customHeight="1">
      <c r="A14" s="14" t="s">
        <v>46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ht="24" customHeight="1">
      <c r="A15" s="9" t="s">
        <v>47</v>
      </c>
      <c r="B15" s="9"/>
      <c r="C15" s="9"/>
      <c r="D15" s="9"/>
      <c r="E15" s="9" t="str">
        <f>G6&amp;" + "&amp;G7&amp;" + "&amp;G8&amp;" + "&amp;G9&amp;" = "&amp;G12</f>
        <v>11 + 15 + 18 + 11 = 55</v>
      </c>
      <c r="F15" s="9"/>
      <c r="G15" s="9"/>
      <c r="H15" s="9"/>
      <c r="I15" s="9"/>
      <c r="J15" s="9"/>
      <c r="K15" s="9"/>
    </row>
    <row r="16" spans="1:11" ht="24" customHeight="1">
      <c r="A16" s="9" t="s">
        <v>48</v>
      </c>
      <c r="B16" s="9"/>
      <c r="C16" s="9"/>
      <c r="D16" s="9"/>
      <c r="E16" s="9">
        <f>H12</f>
        <v>30</v>
      </c>
      <c r="F16" s="9"/>
      <c r="G16" s="9"/>
      <c r="H16" s="9"/>
      <c r="I16" s="9"/>
      <c r="J16" s="9"/>
      <c r="K16" s="9"/>
    </row>
    <row r="17" spans="1:11" ht="24" customHeight="1">
      <c r="A17" s="9" t="s">
        <v>49</v>
      </c>
      <c r="B17" s="9"/>
      <c r="C17" s="9"/>
      <c r="D17" s="9"/>
      <c r="E17" s="9" t="str">
        <f>G12&amp;" + "&amp;H12&amp;" = "&amp;I12</f>
        <v>55 + 30 = 85</v>
      </c>
      <c r="F17" s="9"/>
      <c r="G17" s="9"/>
      <c r="H17" s="9"/>
      <c r="I17" s="9"/>
      <c r="J17" s="9"/>
      <c r="K17" s="9"/>
    </row>
    <row r="18" spans="1:11" ht="51.75" customHeight="1">
      <c r="A18" s="10" t="s">
        <v>50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21" customHeight="1">
      <c r="A19" s="9" t="s">
        <v>51</v>
      </c>
      <c r="B19" s="9"/>
      <c r="C19" s="9"/>
      <c r="D19" s="9"/>
      <c r="E19" s="9"/>
      <c r="F19" s="9"/>
      <c r="G19" s="9"/>
      <c r="H19" s="9"/>
      <c r="I19" s="9"/>
      <c r="J19" s="9"/>
      <c r="K19" s="9"/>
    </row>
  </sheetData>
  <mergeCells count="12">
    <mergeCell ref="A2:K2"/>
    <mergeCell ref="A3:K3"/>
    <mergeCell ref="A12:F12"/>
    <mergeCell ref="A14:K14"/>
    <mergeCell ref="A15:D15"/>
    <mergeCell ref="E15:K15"/>
    <mergeCell ref="A19:K19"/>
    <mergeCell ref="A16:D16"/>
    <mergeCell ref="E16:K16"/>
    <mergeCell ref="A17:D17"/>
    <mergeCell ref="E17:K17"/>
    <mergeCell ref="A18:K1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I14"/>
  <sheetViews>
    <sheetView showGridLines="0" zoomScaleNormal="100" workbookViewId="0">
      <pane ySplit="5" topLeftCell="A6" activePane="bottomLeft" state="frozen"/>
      <selection pane="bottomLeft" activeCell="I12" sqref="I12"/>
    </sheetView>
  </sheetViews>
  <sheetFormatPr defaultColWidth="8.7109375" defaultRowHeight="14.45"/>
  <cols>
    <col min="1" max="1" width="5" customWidth="1"/>
    <col min="2" max="2" width="26" customWidth="1"/>
    <col min="3" max="3" width="20" customWidth="1"/>
    <col min="4" max="4" width="34" customWidth="1"/>
    <col min="5" max="5" width="44" customWidth="1"/>
    <col min="6" max="6" width="11" customWidth="1"/>
    <col min="7" max="7" width="12" customWidth="1"/>
    <col min="8" max="8" width="32" customWidth="1"/>
    <col min="9" max="9" width="34" customWidth="1"/>
  </cols>
  <sheetData>
    <row r="2" spans="1:9" ht="21" customHeight="1">
      <c r="A2" s="11" t="s">
        <v>52</v>
      </c>
      <c r="B2" s="11"/>
      <c r="C2" s="11"/>
      <c r="D2" s="11"/>
      <c r="E2" s="11"/>
      <c r="F2" s="11"/>
      <c r="G2" s="11"/>
      <c r="H2" s="11"/>
      <c r="I2" s="11"/>
    </row>
    <row r="3" spans="1:9" ht="39.75" customHeight="1">
      <c r="A3" s="9" t="s">
        <v>53</v>
      </c>
      <c r="B3" s="9"/>
      <c r="C3" s="9"/>
      <c r="D3" s="9"/>
      <c r="E3" s="9"/>
      <c r="F3" s="9"/>
      <c r="G3" s="9"/>
      <c r="H3" s="9"/>
      <c r="I3" s="9"/>
    </row>
    <row r="5" spans="1:9" ht="36" customHeight="1">
      <c r="A5" s="2" t="s">
        <v>2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</row>
    <row r="6" spans="1:9" ht="67.5" customHeight="1">
      <c r="A6" s="3">
        <v>1</v>
      </c>
      <c r="B6" s="1" t="s">
        <v>62</v>
      </c>
      <c r="C6" s="1" t="s">
        <v>63</v>
      </c>
      <c r="D6" s="1" t="s">
        <v>64</v>
      </c>
      <c r="E6" s="1" t="s">
        <v>65</v>
      </c>
      <c r="F6" s="3" t="s">
        <v>66</v>
      </c>
      <c r="G6" s="3" t="s">
        <v>66</v>
      </c>
      <c r="H6" s="1" t="s">
        <v>67</v>
      </c>
      <c r="I6" s="1" t="s">
        <v>68</v>
      </c>
    </row>
    <row r="7" spans="1:9" ht="52.5" customHeight="1">
      <c r="A7" s="3">
        <v>2</v>
      </c>
      <c r="B7" s="1" t="s">
        <v>69</v>
      </c>
      <c r="C7" s="1" t="s">
        <v>70</v>
      </c>
      <c r="D7" s="1" t="s">
        <v>71</v>
      </c>
      <c r="E7" s="1" t="s">
        <v>72</v>
      </c>
      <c r="F7" s="3" t="s">
        <v>66</v>
      </c>
      <c r="G7" s="3" t="s">
        <v>73</v>
      </c>
      <c r="H7" s="1" t="s">
        <v>74</v>
      </c>
      <c r="I7" s="1" t="s">
        <v>75</v>
      </c>
    </row>
    <row r="8" spans="1:9" ht="52.5" customHeight="1">
      <c r="A8" s="3">
        <v>3</v>
      </c>
      <c r="B8" s="1" t="s">
        <v>76</v>
      </c>
      <c r="C8" s="1" t="s">
        <v>70</v>
      </c>
      <c r="D8" s="1" t="s">
        <v>77</v>
      </c>
      <c r="E8" s="1" t="s">
        <v>78</v>
      </c>
      <c r="F8" s="3" t="s">
        <v>66</v>
      </c>
      <c r="G8" s="3" t="s">
        <v>73</v>
      </c>
      <c r="H8" s="1" t="s">
        <v>74</v>
      </c>
      <c r="I8" s="1" t="s">
        <v>79</v>
      </c>
    </row>
    <row r="9" spans="1:9" ht="52.5" customHeight="1">
      <c r="A9" s="3">
        <v>4</v>
      </c>
      <c r="B9" s="1" t="s">
        <v>80</v>
      </c>
      <c r="C9" s="1" t="s">
        <v>70</v>
      </c>
      <c r="D9" s="1" t="s">
        <v>81</v>
      </c>
      <c r="E9" s="1" t="s">
        <v>82</v>
      </c>
      <c r="F9" s="3" t="s">
        <v>66</v>
      </c>
      <c r="G9" s="3" t="s">
        <v>73</v>
      </c>
      <c r="H9" s="1" t="s">
        <v>74</v>
      </c>
      <c r="I9" s="1" t="s">
        <v>83</v>
      </c>
    </row>
    <row r="10" spans="1:9" ht="52.5" customHeight="1">
      <c r="A10" s="3">
        <v>5</v>
      </c>
      <c r="B10" s="1" t="s">
        <v>84</v>
      </c>
      <c r="C10" s="1" t="s">
        <v>85</v>
      </c>
      <c r="D10" s="1" t="s">
        <v>86</v>
      </c>
      <c r="E10" s="1" t="s">
        <v>87</v>
      </c>
      <c r="F10" s="3" t="s">
        <v>66</v>
      </c>
      <c r="G10" s="3" t="s">
        <v>66</v>
      </c>
      <c r="H10" s="1" t="s">
        <v>88</v>
      </c>
      <c r="I10" s="1" t="s">
        <v>89</v>
      </c>
    </row>
    <row r="11" spans="1:9" ht="48" customHeight="1">
      <c r="A11" s="3">
        <v>6</v>
      </c>
      <c r="B11" s="1" t="s">
        <v>90</v>
      </c>
      <c r="C11" s="1" t="s">
        <v>91</v>
      </c>
      <c r="D11" s="1" t="s">
        <v>92</v>
      </c>
      <c r="E11" s="1" t="s">
        <v>93</v>
      </c>
      <c r="F11" s="3" t="s">
        <v>66</v>
      </c>
      <c r="G11" s="3" t="s">
        <v>66</v>
      </c>
      <c r="H11" s="1" t="s">
        <v>94</v>
      </c>
      <c r="I11" s="1" t="s">
        <v>95</v>
      </c>
    </row>
    <row r="12" spans="1:9" ht="67.5" customHeight="1">
      <c r="A12" s="3">
        <v>7</v>
      </c>
      <c r="B12" s="1" t="s">
        <v>96</v>
      </c>
      <c r="C12" s="1" t="s">
        <v>97</v>
      </c>
      <c r="D12" s="1" t="s">
        <v>98</v>
      </c>
      <c r="E12" s="1" t="s">
        <v>99</v>
      </c>
      <c r="F12" s="3" t="s">
        <v>100</v>
      </c>
      <c r="G12" s="3" t="s">
        <v>66</v>
      </c>
      <c r="H12" s="1" t="s">
        <v>101</v>
      </c>
      <c r="I12" s="1" t="s">
        <v>102</v>
      </c>
    </row>
    <row r="14" spans="1:9" ht="21" customHeight="1">
      <c r="A14" s="9" t="s">
        <v>103</v>
      </c>
      <c r="B14" s="9"/>
      <c r="C14" s="9"/>
      <c r="D14" s="9"/>
      <c r="E14" s="9"/>
      <c r="F14" s="9"/>
      <c r="G14" s="9"/>
      <c r="H14" s="9"/>
      <c r="I14" s="9"/>
    </row>
  </sheetData>
  <mergeCells count="3">
    <mergeCell ref="A2:I2"/>
    <mergeCell ref="A3:I3"/>
    <mergeCell ref="A14:I14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Diaz</dc:creator>
  <cp:keywords/>
  <dc:description/>
  <cp:lastModifiedBy>LAURA SOFIA DIAZ SUAREZ.E -67</cp:lastModifiedBy>
  <cp:revision/>
  <dcterms:created xsi:type="dcterms:W3CDTF">2026-10-14T04:56:13Z</dcterms:created>
  <dcterms:modified xsi:type="dcterms:W3CDTF">2026-10-14T04:57:37Z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2026-10-14T04:53:39Z</dcterms:created>
  <dc:creator>openpyxl</dc:creator>
  <dc:description/>
  <dc:language>en-US</dc:language>
  <cp:lastModifiedBy/>
  <dcterms:modified xsi:type="dcterms:W3CDTF">2026-10-14T04:53:39Z</dcterms:modified>
  <cp:revision>0</cp:revision>
  <dc:subject/>
  <dc:title/>
</cp:coreProperties>
</file>